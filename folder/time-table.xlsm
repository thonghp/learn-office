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120" yWindow="315" windowWidth="20235" windowHeight="7755" activeTab="1"/>
  </bookViews>
  <sheets>
    <sheet name="Hướng dẫn" sheetId="12" r:id="rId1"/>
    <sheet name="To-do-list" sheetId="1" r:id="rId2"/>
    <sheet name="Data" sheetId="2" state="hidden" r:id="rId3"/>
  </sheets>
  <definedNames>
    <definedName name="_xlnm._FilterDatabase" localSheetId="1" hidden="1">'To-do-list'!$A$6:$J$201</definedName>
  </definedNames>
  <calcPr calcId="162913"/>
</workbook>
</file>

<file path=xl/calcChain.xml><?xml version="1.0" encoding="utf-8"?>
<calcChain xmlns="http://schemas.openxmlformats.org/spreadsheetml/2006/main">
  <c r="E7" i="1" l="1"/>
  <c r="G7" i="1"/>
  <c r="I7" i="1" s="1"/>
  <c r="I201" i="1" l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10" i="1"/>
  <c r="I9" i="1"/>
  <c r="I8" i="1"/>
  <c r="I22" i="1"/>
  <c r="I21" i="1"/>
  <c r="I19" i="1"/>
  <c r="I18" i="1"/>
  <c r="I17" i="1"/>
  <c r="I16" i="1"/>
  <c r="I15" i="1"/>
  <c r="G10" i="1" l="1"/>
  <c r="G201" i="1" l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21" i="1"/>
  <c r="G18" i="1"/>
  <c r="G17" i="1"/>
  <c r="G19" i="1"/>
  <c r="G25" i="1"/>
  <c r="G27" i="1"/>
  <c r="G16" i="1"/>
  <c r="G15" i="1"/>
  <c r="G20" i="1"/>
  <c r="I20" i="1" s="1"/>
  <c r="G11" i="1"/>
  <c r="I11" i="1" s="1"/>
  <c r="G26" i="1"/>
  <c r="G12" i="1"/>
  <c r="I12" i="1" s="1"/>
  <c r="G24" i="1"/>
  <c r="G9" i="1"/>
  <c r="G23" i="1"/>
  <c r="G30" i="1"/>
  <c r="G22" i="1"/>
  <c r="G28" i="1"/>
  <c r="G14" i="1"/>
  <c r="I14" i="1" s="1"/>
  <c r="G8" i="1"/>
  <c r="G13" i="1"/>
  <c r="I13" i="1" s="1"/>
  <c r="G29" i="1"/>
  <c r="E201" i="1" l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21" i="1"/>
  <c r="E18" i="1"/>
  <c r="E17" i="1"/>
  <c r="E19" i="1"/>
  <c r="E25" i="1"/>
  <c r="E27" i="1"/>
  <c r="E16" i="1"/>
  <c r="E15" i="1"/>
  <c r="E20" i="1"/>
  <c r="E13" i="1"/>
  <c r="E23" i="1"/>
  <c r="E14" i="1"/>
  <c r="E26" i="1"/>
  <c r="E8" i="1"/>
  <c r="E9" i="1"/>
  <c r="E28" i="1"/>
  <c r="E11" i="1"/>
  <c r="E12" i="1"/>
  <c r="E24" i="1"/>
  <c r="E10" i="1"/>
  <c r="E30" i="1"/>
  <c r="E22" i="1"/>
  <c r="E29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2" i="1" l="1"/>
  <c r="A33" i="1" s="1"/>
  <c r="A7" i="1" l="1"/>
  <c r="A8" i="1" s="1"/>
  <c r="A23" i="1"/>
  <c r="A24" i="1"/>
  <c r="A25" i="1"/>
  <c r="A26" i="1"/>
  <c r="A27" i="1"/>
  <c r="A28" i="1"/>
  <c r="A29" i="1"/>
  <c r="A30" i="1"/>
  <c r="A31" i="1"/>
  <c r="A9" i="1" l="1"/>
  <c r="A10" i="1"/>
  <c r="A11" i="1" s="1"/>
  <c r="A12" i="1" l="1"/>
  <c r="A13" i="1" s="1"/>
  <c r="A14" i="1" l="1"/>
  <c r="A15" i="1"/>
  <c r="A16" i="1" l="1"/>
  <c r="A17" i="1" l="1"/>
  <c r="A18" i="1" s="1"/>
  <c r="A19" i="1" s="1"/>
  <c r="A20" i="1" l="1"/>
  <c r="A21" i="1" s="1"/>
  <c r="A22" i="1" s="1"/>
</calcChain>
</file>

<file path=xl/sharedStrings.xml><?xml version="1.0" encoding="utf-8"?>
<sst xmlns="http://schemas.openxmlformats.org/spreadsheetml/2006/main" count="101" uniqueCount="61">
  <si>
    <t>NO.</t>
  </si>
  <si>
    <t>TO DO LIST</t>
  </si>
  <si>
    <t>%</t>
  </si>
  <si>
    <t>QUAN TRỌNG</t>
  </si>
  <si>
    <t>KHẨN CẤP</t>
  </si>
  <si>
    <t>MỨC ĐỘ
ƯU TIÊN</t>
  </si>
  <si>
    <t>Tự động</t>
  </si>
  <si>
    <t>Nhập thông tin</t>
  </si>
  <si>
    <t>Chọn
danh sách</t>
  </si>
  <si>
    <t>THỜI HẠN</t>
  </si>
  <si>
    <t>SỐ NGÀY CÒN LẠI</t>
  </si>
  <si>
    <t>TÌNH TRẠNG</t>
  </si>
  <si>
    <t>GHI CHÚ</t>
  </si>
  <si>
    <t>Nhập thông tin (nếu có)</t>
  </si>
  <si>
    <t xml:space="preserve">Ưu tiên 1: Làm ngay          Ưu tiên 2: Sắp xếp thời gian xử lý                   LEVEL 3: Giao việc                       LEVEL 4:  Xử lý khi rảnh rỗi  </t>
  </si>
  <si>
    <t>Quá hạn</t>
  </si>
  <si>
    <t>Chưa bắt đầu</t>
  </si>
  <si>
    <t>Bước 1:</t>
  </si>
  <si>
    <t xml:space="preserve">Bước 2: </t>
  </si>
  <si>
    <t>DANH SÁCH CÔNG VIỆC</t>
  </si>
  <si>
    <r>
      <t>Nhập nội dung công việc vào cột "</t>
    </r>
    <r>
      <rPr>
        <sz val="12"/>
        <color rgb="FFFF0000"/>
        <rFont val="Arial"/>
        <family val="2"/>
      </rPr>
      <t>DANH SÁCH CÔNG VIỆC</t>
    </r>
    <r>
      <rPr>
        <sz val="12"/>
        <color theme="1"/>
        <rFont val="Arial"/>
        <family val="2"/>
      </rPr>
      <t>"</t>
    </r>
  </si>
  <si>
    <r>
      <t>Trong 2 cột "</t>
    </r>
    <r>
      <rPr>
        <sz val="12"/>
        <color rgb="FFFF0000"/>
        <rFont val="Arial"/>
        <family val="2"/>
      </rPr>
      <t>QUAN TRỌNG</t>
    </r>
    <r>
      <rPr>
        <sz val="12"/>
        <color theme="1"/>
        <rFont val="Arial"/>
        <family val="2"/>
      </rPr>
      <t>" và "</t>
    </r>
    <r>
      <rPr>
        <sz val="12"/>
        <color rgb="FFFF0000"/>
        <rFont val="Arial"/>
        <family val="2"/>
      </rPr>
      <t>KHẨN CẤP</t>
    </r>
    <r>
      <rPr>
        <sz val="12"/>
        <color theme="1"/>
        <rFont val="Arial"/>
        <family val="2"/>
      </rPr>
      <t>", chọn mức độ "</t>
    </r>
    <r>
      <rPr>
        <sz val="12"/>
        <color rgb="FFFF0000"/>
        <rFont val="Arial"/>
        <family val="2"/>
      </rPr>
      <t>Cao</t>
    </r>
    <r>
      <rPr>
        <sz val="12"/>
        <color theme="1"/>
        <rFont val="Arial"/>
        <family val="2"/>
      </rPr>
      <t>" hay "</t>
    </r>
    <r>
      <rPr>
        <sz val="12"/>
        <color rgb="FFFF0000"/>
        <rFont val="Arial"/>
        <family val="2"/>
      </rPr>
      <t>Thấp</t>
    </r>
    <r>
      <rPr>
        <sz val="12"/>
        <color theme="1"/>
        <rFont val="Arial"/>
        <family val="2"/>
      </rPr>
      <t xml:space="preserve">" </t>
    </r>
  </si>
  <si>
    <r>
      <t>Sau khi chọn xong, cột "</t>
    </r>
    <r>
      <rPr>
        <sz val="12"/>
        <color rgb="FFFF0000"/>
        <rFont val="Arial"/>
        <family val="2"/>
      </rPr>
      <t>MỨC ĐỘ ƯU TIÊN</t>
    </r>
    <r>
      <rPr>
        <sz val="12"/>
        <color theme="1"/>
        <rFont val="Arial"/>
        <family val="2"/>
      </rPr>
      <t>" sẽ tự động thiết lập các con số</t>
    </r>
  </si>
  <si>
    <t>Bước 3:</t>
  </si>
  <si>
    <r>
      <t>Trong cột "</t>
    </r>
    <r>
      <rPr>
        <sz val="12"/>
        <color rgb="FFFF0000"/>
        <rFont val="Arial"/>
        <family val="2"/>
      </rPr>
      <t>THỜI HẠN</t>
    </r>
    <r>
      <rPr>
        <sz val="12"/>
        <color theme="1"/>
        <rFont val="Arial"/>
        <family val="2"/>
      </rPr>
      <t>" nhập thông tin ngày hoàn thành</t>
    </r>
  </si>
  <si>
    <t>Bước 4:</t>
  </si>
  <si>
    <t>Sau khi nhập, cột "SỐ NGÀY CÒN LẠI" sẽ tự động thông báo số ngày còn lại</t>
  </si>
  <si>
    <t xml:space="preserve">Click vào nút "Sắp xếp" phía trên cùng bên cạnh chữ TO DO LIST </t>
  </si>
  <si>
    <t>Sau khi click, danh sách công việc sẽ tự sắp xếp lại theo thứ tự ưu tiên</t>
  </si>
  <si>
    <t>Bước 5:</t>
  </si>
  <si>
    <r>
      <t>Hàng ngày cập nhập tiến độ vào cột "</t>
    </r>
    <r>
      <rPr>
        <sz val="12"/>
        <color rgb="FFFF0000"/>
        <rFont val="Arial"/>
        <family val="2"/>
      </rPr>
      <t>%</t>
    </r>
    <r>
      <rPr>
        <sz val="12"/>
        <color theme="1"/>
        <rFont val="Arial"/>
        <family val="2"/>
      </rPr>
      <t>" theo từng mức "</t>
    </r>
    <r>
      <rPr>
        <sz val="12"/>
        <color rgb="FFFF0000"/>
        <rFont val="Arial"/>
        <family val="2"/>
      </rPr>
      <t>0%-25%-50%-75%-100%</t>
    </r>
    <r>
      <rPr>
        <sz val="12"/>
        <color theme="1"/>
        <rFont val="Arial"/>
        <family val="2"/>
      </rPr>
      <t>"</t>
    </r>
  </si>
  <si>
    <t>Đang thực hiện</t>
  </si>
  <si>
    <t>Đã hoàn thành</t>
  </si>
  <si>
    <t>Sau khi cập nhập tiến độ, cột "TÌNH TRẠNG" sẽ tự động thông báo tình hình công việc</t>
  </si>
  <si>
    <t>Bước 6:</t>
  </si>
  <si>
    <t>HƯỚNG DẪN NHẬP THÔNG TIN TRONG SHEET "To-do-list"</t>
  </si>
  <si>
    <r>
      <t>Lưu ý: nếu nhập theo trình tự "</t>
    </r>
    <r>
      <rPr>
        <sz val="12"/>
        <color rgb="FFFF0000"/>
        <rFont val="Arial"/>
        <family val="2"/>
      </rPr>
      <t>ngày/ngày/năm</t>
    </r>
    <r>
      <rPr>
        <sz val="12"/>
        <color theme="1"/>
        <rFont val="Arial"/>
        <family val="2"/>
      </rPr>
      <t>" mà cột "SỐ NGÀY CÒN LẠI" báo lỗi, bạn vào "</t>
    </r>
    <r>
      <rPr>
        <sz val="12"/>
        <color rgb="FFFF0000"/>
        <rFont val="Arial"/>
        <family val="2"/>
      </rPr>
      <t>Control Panel</t>
    </r>
    <r>
      <rPr>
        <sz val="12"/>
        <color theme="1"/>
        <rFont val="Arial"/>
        <family val="2"/>
      </rPr>
      <t>"</t>
    </r>
  </si>
  <si>
    <r>
      <t>vào mục "</t>
    </r>
    <r>
      <rPr>
        <sz val="12"/>
        <color rgb="FFFF0000"/>
        <rFont val="Arial"/>
        <family val="2"/>
      </rPr>
      <t>Clock and Region</t>
    </r>
    <r>
      <rPr>
        <sz val="12"/>
        <color theme="1"/>
        <rFont val="Arial"/>
        <family val="2"/>
      </rPr>
      <t xml:space="preserve">" --&gt; </t>
    </r>
    <r>
      <rPr>
        <sz val="12"/>
        <color rgb="FFFF0000"/>
        <rFont val="Arial"/>
        <family val="2"/>
      </rPr>
      <t>change date, time, or numbers formats</t>
    </r>
    <r>
      <rPr>
        <sz val="12"/>
        <color theme="1"/>
        <rFont val="Arial"/>
        <family val="2"/>
      </rPr>
      <t xml:space="preserve"> --&gt; chọn ô Format là "Vietnamese</t>
    </r>
  </si>
  <si>
    <t xml:space="preserve">hoặc tham khảo hướng dẫn theo link sau: </t>
  </si>
  <si>
    <t>https://blog.hocexcel.online/cach-chinh-dung-dinh-dang-ngay-thang-nam-trong-excel.html</t>
  </si>
  <si>
    <r>
      <t>Nếu muốn ẩn những công việc đã hoàn thành, hãy click vào           bên cạnh chữ "TÌNH TRẠNG" và bỏ chọn mục "</t>
    </r>
    <r>
      <rPr>
        <sz val="12"/>
        <color rgb="FFFF0000"/>
        <rFont val="Arial"/>
        <family val="2"/>
      </rPr>
      <t>Đã hoàn thành</t>
    </r>
    <r>
      <rPr>
        <sz val="12"/>
        <color theme="1"/>
        <rFont val="Arial"/>
        <family val="2"/>
      </rPr>
      <t>"</t>
    </r>
  </si>
  <si>
    <t>Có</t>
  </si>
  <si>
    <t>Không</t>
  </si>
  <si>
    <t>Ghi chú: nếu muốn điều chỉnh độ rộng của cột, hay công thức trong sheet bạn vào review, chọn protect sheet và gõ password: lamviechieuqua</t>
  </si>
  <si>
    <t>Học anh văn sáng</t>
  </si>
  <si>
    <t>Học kỹ năng</t>
  </si>
  <si>
    <t>Chia sẽ kiến thức</t>
  </si>
  <si>
    <t>Học anh văn chiều</t>
  </si>
  <si>
    <t>Tập viết tay trái</t>
  </si>
  <si>
    <t>Làm project</t>
  </si>
  <si>
    <t>Học anh văn tối</t>
  </si>
  <si>
    <t>Tụ học online</t>
  </si>
  <si>
    <t>Tập cơ lưng</t>
  </si>
  <si>
    <t>Đọc sách</t>
  </si>
  <si>
    <t>Tập chữ ký</t>
  </si>
  <si>
    <t>Làm bài ông long</t>
  </si>
  <si>
    <t>Làm bài bà nga</t>
  </si>
  <si>
    <t>Làm bài ông phước</t>
  </si>
  <si>
    <t>Làm bài bà quỳnh</t>
  </si>
  <si>
    <t>Làm bài bà châu</t>
  </si>
  <si>
    <t>Nhập tháng/ngày/năm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</si>
</sst>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2"/>
      <color theme="1"/>
      <name val="Arial"/>
      <family val="2"/>
    </font>
    <font>
      <sz val="12"/>
      <color theme="1" tint="0.499984740745262"/>
      <name val="Arial"/>
      <family val="2"/>
    </font>
    <font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8"/>
      <color theme="1" tint="0.499984740745262"/>
      <name val="Arial"/>
      <family val="2"/>
    </font>
    <font>
      <sz val="12"/>
      <color theme="0" tint="-0.499984740745262"/>
      <name val="Arial"/>
      <family val="2"/>
    </font>
    <font>
      <sz val="12"/>
      <color theme="8" tint="-0.499984740745262"/>
      <name val="Arial"/>
      <family val="2"/>
    </font>
    <font>
      <sz val="20"/>
      <color theme="8" tint="-0.499984740745262"/>
      <name val="Arial"/>
      <family val="2"/>
    </font>
    <font>
      <sz val="12"/>
      <color rgb="FFFF0000"/>
      <name val="Arial"/>
      <family val="2"/>
    </font>
    <font>
      <b/>
      <sz val="12"/>
      <color theme="8" tint="-0.249977111117893"/>
      <name val="Arial"/>
      <family val="2"/>
    </font>
    <font>
      <u/>
      <sz val="12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/>
    <xf numFmtId="0" fontId="0" fillId="4" borderId="17" xfId="0" applyFill="1" applyBorder="1"/>
    <xf numFmtId="0" fontId="0" fillId="4" borderId="18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19" xfId="0" applyFill="1" applyBorder="1"/>
    <xf numFmtId="0" fontId="10" fillId="0" borderId="0" xfId="0" applyFont="1"/>
    <xf numFmtId="0" fontId="11" fillId="0" borderId="0" xfId="3"/>
    <xf numFmtId="0" fontId="8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 applyProtection="1">
      <alignment horizontal="center" vertical="center"/>
      <protection locked="0"/>
    </xf>
    <xf numFmtId="0" fontId="4" fillId="2" borderId="11" xfId="0" applyFont="1" applyFill="1" applyBorder="1" applyAlignment="1" applyProtection="1">
      <alignment horizontal="center" vertical="center" wrapText="1"/>
      <protection locked="0"/>
    </xf>
    <xf numFmtId="164" fontId="4" fillId="2" borderId="11" xfId="2" applyNumberFormat="1" applyFont="1" applyFill="1" applyBorder="1" applyAlignment="1" applyProtection="1">
      <alignment horizontal="center" vertical="center" wrapText="1"/>
      <protection locked="0"/>
    </xf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14" fontId="7" fillId="0" borderId="8" xfId="0" applyNumberFormat="1" applyFont="1" applyBorder="1" applyAlignment="1" applyProtection="1">
      <alignment horizontal="center" vertical="center"/>
      <protection locked="0"/>
    </xf>
    <xf numFmtId="9" fontId="7" fillId="0" borderId="8" xfId="1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vertical="center"/>
      <protection locked="0"/>
    </xf>
    <xf numFmtId="0" fontId="7" fillId="0" borderId="0" xfId="0" applyFont="1" applyProtection="1"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14" fontId="7" fillId="0" borderId="2" xfId="0" applyNumberFormat="1" applyFont="1" applyBorder="1" applyAlignment="1" applyProtection="1">
      <alignment horizontal="center" vertical="center"/>
      <protection locked="0"/>
    </xf>
    <xf numFmtId="9" fontId="7" fillId="0" borderId="2" xfId="1" applyFont="1" applyBorder="1" applyAlignment="1" applyProtection="1">
      <alignment horizontal="right" vertical="center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7" fillId="0" borderId="2" xfId="0" quotePrefix="1" applyNumberFormat="1" applyFont="1" applyBorder="1" applyAlignment="1" applyProtection="1">
      <alignment horizontal="center" vertical="center"/>
      <protection locked="0"/>
    </xf>
    <xf numFmtId="9" fontId="7" fillId="0" borderId="2" xfId="1" quotePrefix="1" applyFont="1" applyBorder="1" applyAlignment="1" applyProtection="1">
      <alignment horizontal="right" vertical="center"/>
      <protection locked="0"/>
    </xf>
    <xf numFmtId="0" fontId="7" fillId="0" borderId="3" xfId="0" applyFont="1" applyBorder="1" applyAlignment="1" applyProtection="1">
      <alignment vertical="center" wrapText="1"/>
      <protection locked="0"/>
    </xf>
    <xf numFmtId="0" fontId="7" fillId="0" borderId="4" xfId="0" applyFont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14" fontId="7" fillId="0" borderId="5" xfId="0" applyNumberFormat="1" applyFont="1" applyBorder="1" applyAlignment="1" applyProtection="1">
      <alignment horizontal="center" vertical="center"/>
      <protection locked="0"/>
    </xf>
    <xf numFmtId="9" fontId="7" fillId="0" borderId="5" xfId="1" applyFont="1" applyBorder="1" applyAlignment="1" applyProtection="1">
      <alignment horizontal="right" vertical="center"/>
      <protection locked="0"/>
    </xf>
    <xf numFmtId="0" fontId="7" fillId="0" borderId="6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164" fontId="7" fillId="0" borderId="8" xfId="2" applyNumberFormat="1" applyFont="1" applyBorder="1" applyAlignment="1" applyProtection="1">
      <alignment horizontal="center" vertical="center"/>
    </xf>
    <xf numFmtId="164" fontId="7" fillId="0" borderId="2" xfId="2" applyNumberFormat="1" applyFont="1" applyBorder="1" applyAlignment="1" applyProtection="1">
      <alignment horizontal="center" vertical="center"/>
    </xf>
    <xf numFmtId="164" fontId="7" fillId="0" borderId="2" xfId="2" quotePrefix="1" applyNumberFormat="1" applyFont="1" applyBorder="1" applyAlignment="1" applyProtection="1">
      <alignment horizontal="center" vertical="center"/>
    </xf>
    <xf numFmtId="164" fontId="7" fillId="0" borderId="5" xfId="2" applyNumberFormat="1" applyFont="1" applyBorder="1" applyAlignment="1" applyProtection="1">
      <alignment horizontal="center" vertical="center"/>
    </xf>
    <xf numFmtId="9" fontId="7" fillId="0" borderId="14" xfId="1" applyFont="1" applyBorder="1" applyAlignment="1" applyProtection="1">
      <alignment horizontal="center" vertical="center"/>
    </xf>
    <xf numFmtId="9" fontId="7" fillId="0" borderId="15" xfId="1" applyFont="1" applyBorder="1" applyAlignment="1" applyProtection="1">
      <alignment horizontal="center" vertical="center"/>
    </xf>
    <xf numFmtId="9" fontId="7" fillId="0" borderId="15" xfId="1" quotePrefix="1" applyFont="1" applyBorder="1" applyAlignment="1" applyProtection="1">
      <alignment horizontal="center" vertical="center"/>
    </xf>
    <xf numFmtId="9" fontId="7" fillId="0" borderId="16" xfId="1" applyFont="1" applyBorder="1" applyAlignment="1" applyProtection="1">
      <alignment horizontal="center" vertic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20">
    <dxf>
      <fill>
        <patternFill>
          <bgColor rgb="FFFFFF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66CC"/>
        </patternFill>
      </fill>
    </dxf>
    <dxf>
      <fill>
        <patternFill>
          <bgColor rgb="FF158AFF"/>
        </patternFill>
      </fill>
    </dxf>
    <dxf>
      <fill>
        <patternFill>
          <bgColor rgb="FF71B8FF"/>
        </patternFill>
      </fill>
    </dxf>
    <dxf>
      <fill>
        <patternFill>
          <bgColor rgb="FFAFD7FF"/>
        </patternFill>
      </fill>
    </dxf>
    <dxf>
      <fill>
        <patternFill>
          <bgColor rgb="FFFF0000"/>
        </patternFill>
      </fill>
    </dxf>
    <dxf>
      <fill>
        <patternFill>
          <bgColor rgb="FFFF9801"/>
        </patternFill>
      </fill>
    </dxf>
    <dxf>
      <fill>
        <patternFill>
          <bgColor rgb="FFFED969"/>
        </patternFill>
      </fill>
    </dxf>
    <dxf>
      <fill>
        <patternFill>
          <bgColor rgb="FFD2E07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CC99"/>
      <color rgb="FF00FF00"/>
      <color rgb="FF66CCFF"/>
      <color rgb="FFFF3F56"/>
      <color rgb="FFFF5342"/>
      <color rgb="FFFFFFFF"/>
      <color rgb="FFFFA7A7"/>
      <color rgb="FF158AFF"/>
      <color rgb="FFAFD7FF"/>
      <color rgb="FF71B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469900</xdr:colOff>
      <xdr:row>14</xdr:row>
      <xdr:rowOff>6350</xdr:rowOff>
    </xdr:from>
    <xdr:to>
      <xdr:col>6</xdr:col>
      <xdr:colOff>717550</xdr:colOff>
      <xdr:row>15</xdr:row>
      <xdr:rowOff>57150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1900" y="2565400"/>
          <a:ext cx="247650" cy="247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38100</xdr:rowOff>
        </xdr:from>
        <xdr:to>
          <xdr:col>1</xdr:col>
          <xdr:colOff>2314575</xdr:colOff>
          <xdr:row>0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Sắp xếp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log.hocexcel.online/cach-chinh-dung-dinh-dang-ngay-thang-nam-trong-excel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8"/>
  <sheetViews>
    <sheetView showGridLines="0" workbookViewId="0">
      <selection activeCell="A19" sqref="A19"/>
    </sheetView>
  </sheetViews>
  <sheetFormatPr defaultRowHeight="15" x14ac:dyDescent="0.2"/>
  <sheetData>
    <row r="1" spans="1:14" ht="15.75" x14ac:dyDescent="0.25">
      <c r="A1" s="10" t="s">
        <v>35</v>
      </c>
    </row>
    <row r="3" spans="1:14" x14ac:dyDescent="0.2">
      <c r="A3" t="s">
        <v>17</v>
      </c>
      <c r="B3" t="s">
        <v>20</v>
      </c>
    </row>
    <row r="4" spans="1:14" x14ac:dyDescent="0.2">
      <c r="A4" s="5" t="s">
        <v>18</v>
      </c>
      <c r="B4" s="5" t="s">
        <v>21</v>
      </c>
      <c r="C4" s="5"/>
      <c r="D4" s="5"/>
      <c r="E4" s="5"/>
      <c r="F4" s="5"/>
      <c r="G4" s="5"/>
      <c r="H4" s="5"/>
      <c r="I4" s="5"/>
      <c r="J4" s="7"/>
      <c r="K4" s="7"/>
      <c r="L4" s="7"/>
      <c r="M4" s="7"/>
      <c r="N4" s="7"/>
    </row>
    <row r="5" spans="1:14" x14ac:dyDescent="0.2">
      <c r="A5" s="6"/>
      <c r="B5" s="6" t="s">
        <v>22</v>
      </c>
      <c r="C5" s="6"/>
      <c r="D5" s="6"/>
      <c r="E5" s="6"/>
      <c r="F5" s="6"/>
      <c r="G5" s="6"/>
      <c r="H5" s="6"/>
      <c r="I5" s="6"/>
      <c r="J5" s="8"/>
      <c r="K5" s="8"/>
      <c r="L5" s="8"/>
      <c r="M5" s="8"/>
      <c r="N5" s="8"/>
    </row>
    <row r="6" spans="1:14" x14ac:dyDescent="0.2">
      <c r="A6" t="s">
        <v>23</v>
      </c>
      <c r="B6" t="s">
        <v>24</v>
      </c>
    </row>
    <row r="7" spans="1:14" x14ac:dyDescent="0.2">
      <c r="B7" t="s">
        <v>26</v>
      </c>
    </row>
    <row r="8" spans="1:14" x14ac:dyDescent="0.2">
      <c r="B8" t="s">
        <v>36</v>
      </c>
    </row>
    <row r="9" spans="1:14" x14ac:dyDescent="0.2">
      <c r="B9" t="s">
        <v>37</v>
      </c>
    </row>
    <row r="10" spans="1:14" x14ac:dyDescent="0.2">
      <c r="B10" t="s">
        <v>38</v>
      </c>
      <c r="F10" s="11" t="s">
        <v>39</v>
      </c>
    </row>
    <row r="11" spans="1:14" x14ac:dyDescent="0.2">
      <c r="A11" s="7" t="s">
        <v>25</v>
      </c>
      <c r="B11" s="7" t="s">
        <v>27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4" x14ac:dyDescent="0.2">
      <c r="A12" s="8"/>
      <c r="B12" s="8" t="s">
        <v>28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 x14ac:dyDescent="0.2">
      <c r="A13" t="s">
        <v>29</v>
      </c>
      <c r="B13" t="s">
        <v>30</v>
      </c>
    </row>
    <row r="14" spans="1:14" x14ac:dyDescent="0.2">
      <c r="B14" t="s">
        <v>33</v>
      </c>
    </row>
    <row r="15" spans="1:14" x14ac:dyDescent="0.2">
      <c r="A15" s="9" t="s">
        <v>34</v>
      </c>
      <c r="B15" s="9" t="s">
        <v>40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8" spans="1:1" x14ac:dyDescent="0.2">
      <c r="A18" t="s">
        <v>43</v>
      </c>
    </row>
  </sheetData>
  <hyperlinks>
    <hyperlink ref="F10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1"/>
  <sheetViews>
    <sheetView showGridLines="0" tabSelected="1" zoomScale="80" zoomScaleNormal="80" workbookViewId="0">
      <selection activeCell="B7" sqref="B7"/>
    </sheetView>
  </sheetViews>
  <sheetFormatPr defaultColWidth="8.88671875" defaultRowHeight="15" x14ac:dyDescent="0.2"/>
  <cols>
    <col min="1" max="1" width="4.44140625" style="13" customWidth="1"/>
    <col min="2" max="2" width="35.6640625" style="13" customWidth="1"/>
    <col min="3" max="3" width="8.44140625" style="14" customWidth="1"/>
    <col min="4" max="4" width="9.21875" style="14" customWidth="1"/>
    <col min="5" max="5" width="10.21875" style="14" customWidth="1"/>
    <col min="6" max="6" width="10.88671875" style="14" customWidth="1"/>
    <col min="7" max="7" width="11.44140625" style="14" customWidth="1"/>
    <col min="8" max="8" width="7.33203125" style="14" bestFit="1" customWidth="1"/>
    <col min="9" max="9" width="14.77734375" style="14" customWidth="1"/>
    <col min="10" max="10" width="32.5546875" style="13" customWidth="1"/>
    <col min="11" max="16384" width="8.88671875" style="13"/>
  </cols>
  <sheetData>
    <row r="1" spans="1:10" ht="25.5" x14ac:dyDescent="0.35">
      <c r="A1" s="12" t="s">
        <v>1</v>
      </c>
    </row>
    <row r="2" spans="1:10" ht="6" customHeight="1" x14ac:dyDescent="0.2"/>
    <row r="3" spans="1:10" s="15" customFormat="1" x14ac:dyDescent="0.2">
      <c r="A3" s="15" t="s">
        <v>14</v>
      </c>
      <c r="C3" s="16"/>
      <c r="D3" s="16"/>
      <c r="E3" s="16"/>
      <c r="F3" s="16"/>
      <c r="G3" s="16"/>
      <c r="H3" s="16"/>
      <c r="I3" s="16"/>
    </row>
    <row r="4" spans="1:10" ht="6.75" customHeight="1" x14ac:dyDescent="0.2"/>
    <row r="5" spans="1:10" s="17" customFormat="1" ht="22.5" customHeight="1" thickBot="1" x14ac:dyDescent="0.25">
      <c r="A5" s="17" t="s">
        <v>6</v>
      </c>
      <c r="B5" s="17" t="s">
        <v>7</v>
      </c>
      <c r="C5" s="17" t="s">
        <v>8</v>
      </c>
      <c r="D5" s="17" t="s">
        <v>8</v>
      </c>
      <c r="E5" s="17" t="s">
        <v>6</v>
      </c>
      <c r="F5" s="17" t="s">
        <v>60</v>
      </c>
      <c r="G5" s="17" t="s">
        <v>6</v>
      </c>
      <c r="H5" s="17" t="s">
        <v>8</v>
      </c>
      <c r="J5" s="17" t="s">
        <v>13</v>
      </c>
    </row>
    <row r="6" spans="1:10" s="24" customFormat="1" ht="31.5" customHeight="1" thickBot="1" x14ac:dyDescent="0.25">
      <c r="A6" s="18" t="s">
        <v>0</v>
      </c>
      <c r="B6" s="19" t="s">
        <v>19</v>
      </c>
      <c r="C6" s="20" t="s">
        <v>3</v>
      </c>
      <c r="D6" s="20" t="s">
        <v>4</v>
      </c>
      <c r="E6" s="20" t="s">
        <v>5</v>
      </c>
      <c r="F6" s="19" t="s">
        <v>9</v>
      </c>
      <c r="G6" s="21" t="s">
        <v>10</v>
      </c>
      <c r="H6" s="19" t="s">
        <v>2</v>
      </c>
      <c r="I6" s="22" t="s">
        <v>11</v>
      </c>
      <c r="J6" s="23" t="s">
        <v>12</v>
      </c>
    </row>
    <row r="7" spans="1:10" s="31" customFormat="1" x14ac:dyDescent="0.2">
      <c r="A7" s="25">
        <f>IF(ISBLANK(B7),"",MAX($A$6:A6)+1)</f>
        <v>1</v>
      </c>
      <c r="B7" s="26" t="s">
        <v>55</v>
      </c>
      <c r="C7" s="27" t="s">
        <v>41</v>
      </c>
      <c r="D7" s="27" t="s">
        <v>41</v>
      </c>
      <c r="E7" s="48">
        <f>IFERROR(INDEX(Data!$E$3:$F$4,MATCH($C7,Data!$D$3:$D$4,0),MATCH($D7,Data!$E$2:$F$2,0)),5)</f>
        <v>1</v>
      </c>
      <c r="F7" s="28"/>
      <c r="G7" s="51">
        <f t="shared" ref="G7:G38" ca="1" si="0">F7-TODAY()</f>
        <v>-44494</v>
      </c>
      <c r="H7" s="29">
        <v>0</v>
      </c>
      <c r="I7" s="55" t="str">
        <f t="shared" ref="I7:I38" si="1">IF(H7=0%,"Chưa bắt đầu",IF(H7=100%,"Đã hoàn thành",IF(G7&lt;0, "Quá hạn","Đang thực hiện")))</f>
        <v>Chưa bắt đầu</v>
      </c>
      <c r="J7" s="30"/>
    </row>
    <row r="8" spans="1:10" s="31" customFormat="1" x14ac:dyDescent="0.2">
      <c r="A8" s="32">
        <f>IF(ISBLANK(B8),"",MAX($A$6:A7)+1)</f>
        <v>2</v>
      </c>
      <c r="B8" s="33" t="s">
        <v>56</v>
      </c>
      <c r="C8" s="34" t="s">
        <v>41</v>
      </c>
      <c r="D8" s="34" t="s">
        <v>41</v>
      </c>
      <c r="E8" s="49">
        <f>IFERROR(INDEX(Data!$E$3:$F$4,MATCH($C8,Data!$D$3:$D$4,0),MATCH($D8,Data!$E$2:$F$2,0)),5)</f>
        <v>1</v>
      </c>
      <c r="F8" s="35"/>
      <c r="G8" s="52">
        <f t="shared" ca="1" si="0"/>
        <v>-44494</v>
      </c>
      <c r="H8" s="36">
        <v>0</v>
      </c>
      <c r="I8" s="56" t="str">
        <f t="shared" si="1"/>
        <v>Chưa bắt đầu</v>
      </c>
      <c r="J8" s="37"/>
    </row>
    <row r="9" spans="1:10" s="31" customFormat="1" x14ac:dyDescent="0.2">
      <c r="A9" s="32">
        <f>IF(ISBLANK(B9),"",MAX($A$6:A8)+1)</f>
        <v>3</v>
      </c>
      <c r="B9" s="33" t="s">
        <v>58</v>
      </c>
      <c r="C9" s="34" t="s">
        <v>41</v>
      </c>
      <c r="D9" s="34" t="s">
        <v>41</v>
      </c>
      <c r="E9" s="49">
        <f>IFERROR(INDEX(Data!$E$3:$F$4,MATCH($C9,Data!$D$3:$D$4,0),MATCH($D9,Data!$E$2:$F$2,0)),5)</f>
        <v>1</v>
      </c>
      <c r="F9" s="39"/>
      <c r="G9" s="53">
        <f t="shared" ca="1" si="0"/>
        <v>-44494</v>
      </c>
      <c r="H9" s="40">
        <v>0</v>
      </c>
      <c r="I9" s="57" t="str">
        <f t="shared" si="1"/>
        <v>Chưa bắt đầu</v>
      </c>
      <c r="J9" s="37"/>
    </row>
    <row r="10" spans="1:10" s="31" customFormat="1" x14ac:dyDescent="0.2">
      <c r="A10" s="32">
        <f>IF(ISBLANK(B10),"",MAX($A$6:A9)+1)</f>
        <v>4</v>
      </c>
      <c r="B10" s="33" t="s">
        <v>59</v>
      </c>
      <c r="C10" s="34" t="s">
        <v>41</v>
      </c>
      <c r="D10" s="34" t="s">
        <v>41</v>
      </c>
      <c r="E10" s="49">
        <f>IFERROR(INDEX(Data!$E$3:$F$4,MATCH($C10,Data!$D$3:$D$4,0),MATCH($D10,Data!$E$2:$F$2,0)),5)</f>
        <v>1</v>
      </c>
      <c r="F10" s="35"/>
      <c r="G10" s="52">
        <f t="shared" ca="1" si="0"/>
        <v>-44494</v>
      </c>
      <c r="H10" s="36">
        <v>0</v>
      </c>
      <c r="I10" s="56" t="str">
        <f t="shared" si="1"/>
        <v>Chưa bắt đầu</v>
      </c>
      <c r="J10" s="41"/>
    </row>
    <row r="11" spans="1:10" s="31" customFormat="1" x14ac:dyDescent="0.2">
      <c r="A11" s="32">
        <f>IF(ISBLANK(B11),"",MAX($A$6:A10)+1)</f>
        <v>5</v>
      </c>
      <c r="B11" s="33" t="s">
        <v>57</v>
      </c>
      <c r="C11" s="34" t="s">
        <v>41</v>
      </c>
      <c r="D11" s="34" t="s">
        <v>41</v>
      </c>
      <c r="E11" s="49">
        <f>IFERROR(INDEX(Data!$E$3:$F$4,MATCH($C11,Data!$D$3:$D$4,0),MATCH($D11,Data!$E$2:$F$2,0)),5)</f>
        <v>1</v>
      </c>
      <c r="F11" s="35">
        <v>44499</v>
      </c>
      <c r="G11" s="52">
        <f t="shared" ca="1" si="0"/>
        <v>5</v>
      </c>
      <c r="H11" s="36">
        <v>0.25</v>
      </c>
      <c r="I11" s="56" t="str">
        <f t="shared" ca="1" si="1"/>
        <v>Đang thực hiện</v>
      </c>
      <c r="J11" s="37"/>
    </row>
    <row r="12" spans="1:10" s="31" customFormat="1" x14ac:dyDescent="0.2">
      <c r="A12" s="32">
        <f>IF(ISBLANK(B12),"",MAX($A$6:A11)+1)</f>
        <v>6</v>
      </c>
      <c r="B12" s="33" t="s">
        <v>44</v>
      </c>
      <c r="C12" s="34" t="s">
        <v>41</v>
      </c>
      <c r="D12" s="34" t="s">
        <v>42</v>
      </c>
      <c r="E12" s="49">
        <f>IFERROR(INDEX(Data!$E$3:$F$4,MATCH($C12,Data!$D$3:$D$4,0),MATCH($D12,Data!$E$2:$F$2,0)),5)</f>
        <v>2</v>
      </c>
      <c r="F12" s="35"/>
      <c r="G12" s="52">
        <f t="shared" ca="1" si="0"/>
        <v>-44494</v>
      </c>
      <c r="H12" s="36">
        <v>1</v>
      </c>
      <c r="I12" s="56" t="str">
        <f t="shared" si="1"/>
        <v>Đã hoàn thành</v>
      </c>
      <c r="J12" s="37"/>
    </row>
    <row r="13" spans="1:10" s="31" customFormat="1" x14ac:dyDescent="0.2">
      <c r="A13" s="32">
        <f>IF(ISBLANK(B13),"",MAX($A$6:A12)+1)</f>
        <v>7</v>
      </c>
      <c r="B13" s="33" t="s">
        <v>45</v>
      </c>
      <c r="C13" s="38" t="s">
        <v>41</v>
      </c>
      <c r="D13" s="34" t="s">
        <v>42</v>
      </c>
      <c r="E13" s="49">
        <f>IFERROR(INDEX(Data!$E$3:$F$4,MATCH($C13,Data!$D$3:$D$4,0),MATCH($D13,Data!$E$2:$F$2,0)),5)</f>
        <v>2</v>
      </c>
      <c r="F13" s="35"/>
      <c r="G13" s="52">
        <f t="shared" ca="1" si="0"/>
        <v>-44494</v>
      </c>
      <c r="H13" s="36">
        <v>1</v>
      </c>
      <c r="I13" s="56" t="str">
        <f t="shared" si="1"/>
        <v>Đã hoàn thành</v>
      </c>
      <c r="J13" s="37"/>
    </row>
    <row r="14" spans="1:10" s="31" customFormat="1" x14ac:dyDescent="0.2">
      <c r="A14" s="32">
        <f>IF(ISBLANK(B14),"",MAX($A$6:A13)+1)</f>
        <v>8</v>
      </c>
      <c r="B14" s="33" t="s">
        <v>47</v>
      </c>
      <c r="C14" s="34" t="s">
        <v>41</v>
      </c>
      <c r="D14" s="34" t="s">
        <v>42</v>
      </c>
      <c r="E14" s="49">
        <f>IFERROR(INDEX(Data!$E$3:$F$4,MATCH($C14,Data!$D$3:$D$4,0),MATCH($D14,Data!$E$2:$F$2,0)),5)</f>
        <v>2</v>
      </c>
      <c r="F14" s="35"/>
      <c r="G14" s="52">
        <f t="shared" ca="1" si="0"/>
        <v>-44494</v>
      </c>
      <c r="H14" s="36">
        <v>0</v>
      </c>
      <c r="I14" s="56" t="str">
        <f t="shared" si="1"/>
        <v>Chưa bắt đầu</v>
      </c>
      <c r="J14" s="37"/>
    </row>
    <row r="15" spans="1:10" s="31" customFormat="1" x14ac:dyDescent="0.2">
      <c r="A15" s="32">
        <f>IF(ISBLANK(B15),"",MAX($A$6:A14)+1)</f>
        <v>9</v>
      </c>
      <c r="B15" s="33" t="s">
        <v>48</v>
      </c>
      <c r="C15" s="34" t="s">
        <v>41</v>
      </c>
      <c r="D15" s="34" t="s">
        <v>42</v>
      </c>
      <c r="E15" s="49">
        <f>IFERROR(INDEX(Data!$E$3:$F$4,MATCH($C15,Data!$D$3:$D$4,0),MATCH($D15,Data!$E$2:$F$2,0)),5)</f>
        <v>2</v>
      </c>
      <c r="F15" s="35"/>
      <c r="G15" s="52">
        <f t="shared" ca="1" si="0"/>
        <v>-44494</v>
      </c>
      <c r="H15" s="36">
        <v>0</v>
      </c>
      <c r="I15" s="56" t="str">
        <f t="shared" si="1"/>
        <v>Chưa bắt đầu</v>
      </c>
      <c r="J15" s="37"/>
    </row>
    <row r="16" spans="1:10" s="31" customFormat="1" x14ac:dyDescent="0.2">
      <c r="A16" s="32">
        <f>IF(ISBLANK(B16),"",MAX($A$6:A15)+1)</f>
        <v>10</v>
      </c>
      <c r="B16" s="33" t="s">
        <v>49</v>
      </c>
      <c r="C16" s="34" t="s">
        <v>41</v>
      </c>
      <c r="D16" s="34" t="s">
        <v>42</v>
      </c>
      <c r="E16" s="49">
        <f>IFERROR(INDEX(Data!$E$3:$F$4,MATCH($C16,Data!$D$3:$D$4,0),MATCH($D16,Data!$E$2:$F$2,0)),5)</f>
        <v>2</v>
      </c>
      <c r="F16" s="35"/>
      <c r="G16" s="52">
        <f t="shared" ca="1" si="0"/>
        <v>-44494</v>
      </c>
      <c r="H16" s="36">
        <v>0</v>
      </c>
      <c r="I16" s="56" t="str">
        <f t="shared" si="1"/>
        <v>Chưa bắt đầu</v>
      </c>
      <c r="J16" s="37"/>
    </row>
    <row r="17" spans="1:10" s="31" customFormat="1" x14ac:dyDescent="0.2">
      <c r="A17" s="32">
        <f>IF(ISBLANK(B17),"",MAX($A$6:A16)+1)</f>
        <v>11</v>
      </c>
      <c r="B17" s="33" t="s">
        <v>50</v>
      </c>
      <c r="C17" s="34" t="s">
        <v>41</v>
      </c>
      <c r="D17" s="34" t="s">
        <v>42</v>
      </c>
      <c r="E17" s="49">
        <f>IFERROR(INDEX(Data!$E$3:$F$4,MATCH($C17,Data!$D$3:$D$4,0),MATCH($D17,Data!$E$2:$F$2,0)),5)</f>
        <v>2</v>
      </c>
      <c r="F17" s="35"/>
      <c r="G17" s="52">
        <f t="shared" ca="1" si="0"/>
        <v>-44494</v>
      </c>
      <c r="H17" s="36">
        <v>0</v>
      </c>
      <c r="I17" s="56" t="str">
        <f t="shared" si="1"/>
        <v>Chưa bắt đầu</v>
      </c>
      <c r="J17" s="37"/>
    </row>
    <row r="18" spans="1:10" s="31" customFormat="1" x14ac:dyDescent="0.2">
      <c r="A18" s="32">
        <f>IF(ISBLANK(B18),"",MAX($A$6:A17)+1)</f>
        <v>12</v>
      </c>
      <c r="B18" s="33" t="s">
        <v>51</v>
      </c>
      <c r="C18" s="34" t="s">
        <v>41</v>
      </c>
      <c r="D18" s="34" t="s">
        <v>42</v>
      </c>
      <c r="E18" s="49">
        <f>IFERROR(INDEX(Data!$E$3:$F$4,MATCH($C18,Data!$D$3:$D$4,0),MATCH($D18,Data!$E$2:$F$2,0)),5)</f>
        <v>2</v>
      </c>
      <c r="F18" s="35"/>
      <c r="G18" s="52">
        <f t="shared" ca="1" si="0"/>
        <v>-44494</v>
      </c>
      <c r="H18" s="36">
        <v>0</v>
      </c>
      <c r="I18" s="56" t="str">
        <f t="shared" si="1"/>
        <v>Chưa bắt đầu</v>
      </c>
      <c r="J18" s="37"/>
    </row>
    <row r="19" spans="1:10" s="31" customFormat="1" x14ac:dyDescent="0.2">
      <c r="A19" s="32">
        <f>IF(ISBLANK(B19),"",MAX($A$6:A18)+1)</f>
        <v>13</v>
      </c>
      <c r="B19" s="33" t="s">
        <v>52</v>
      </c>
      <c r="C19" s="34" t="s">
        <v>42</v>
      </c>
      <c r="D19" s="34" t="s">
        <v>41</v>
      </c>
      <c r="E19" s="49">
        <f>IFERROR(INDEX(Data!$E$3:$F$4,MATCH($C19,Data!$D$3:$D$4,0),MATCH($D19,Data!$E$2:$F$2,0)),5)</f>
        <v>3</v>
      </c>
      <c r="F19" s="35"/>
      <c r="G19" s="52">
        <f t="shared" ca="1" si="0"/>
        <v>-44494</v>
      </c>
      <c r="H19" s="36">
        <v>0</v>
      </c>
      <c r="I19" s="56" t="str">
        <f t="shared" si="1"/>
        <v>Chưa bắt đầu</v>
      </c>
      <c r="J19" s="37"/>
    </row>
    <row r="20" spans="1:10" s="31" customFormat="1" x14ac:dyDescent="0.2">
      <c r="A20" s="32">
        <f>IF(ISBLANK(B20),"",MAX($A$6:A19)+1)</f>
        <v>14</v>
      </c>
      <c r="B20" s="33" t="s">
        <v>46</v>
      </c>
      <c r="C20" s="34" t="s">
        <v>42</v>
      </c>
      <c r="D20" s="34" t="s">
        <v>42</v>
      </c>
      <c r="E20" s="49">
        <f>IFERROR(INDEX(Data!$E$3:$F$4,MATCH($C20,Data!$D$3:$D$4,0),MATCH($D20,Data!$E$2:$F$2,0)),5)</f>
        <v>4</v>
      </c>
      <c r="F20" s="35"/>
      <c r="G20" s="52">
        <f t="shared" ca="1" si="0"/>
        <v>-44494</v>
      </c>
      <c r="H20" s="36">
        <v>0</v>
      </c>
      <c r="I20" s="56" t="str">
        <f t="shared" si="1"/>
        <v>Chưa bắt đầu</v>
      </c>
      <c r="J20" s="37"/>
    </row>
    <row r="21" spans="1:10" s="31" customFormat="1" x14ac:dyDescent="0.2">
      <c r="A21" s="32">
        <f>IF(ISBLANK(B21),"",MAX($A$6:A20)+1)</f>
        <v>15</v>
      </c>
      <c r="B21" s="33" t="s">
        <v>53</v>
      </c>
      <c r="C21" s="34" t="s">
        <v>42</v>
      </c>
      <c r="D21" s="34" t="s">
        <v>42</v>
      </c>
      <c r="E21" s="49">
        <f>IFERROR(INDEX(Data!$E$3:$F$4,MATCH($C21,Data!$D$3:$D$4,0),MATCH($D21,Data!$E$2:$F$2,0)),5)</f>
        <v>4</v>
      </c>
      <c r="F21" s="35"/>
      <c r="G21" s="52">
        <f t="shared" ca="1" si="0"/>
        <v>-44494</v>
      </c>
      <c r="H21" s="36">
        <v>0</v>
      </c>
      <c r="I21" s="56" t="str">
        <f t="shared" si="1"/>
        <v>Chưa bắt đầu</v>
      </c>
      <c r="J21" s="37"/>
    </row>
    <row r="22" spans="1:10" s="31" customFormat="1" x14ac:dyDescent="0.2">
      <c r="A22" s="32">
        <f>IF(ISBLANK(B22),"",MAX($A$6:A21)+1)</f>
        <v>16</v>
      </c>
      <c r="B22" s="33" t="s">
        <v>54</v>
      </c>
      <c r="C22" s="34" t="s">
        <v>42</v>
      </c>
      <c r="D22" s="34" t="s">
        <v>42</v>
      </c>
      <c r="E22" s="49">
        <f>IFERROR(INDEX(Data!$E$3:$F$4,MATCH($C22,Data!$D$3:$D$4,0),MATCH($D22,Data!$E$2:$F$2,0)),5)</f>
        <v>4</v>
      </c>
      <c r="F22" s="35"/>
      <c r="G22" s="52">
        <f t="shared" ca="1" si="0"/>
        <v>-44494</v>
      </c>
      <c r="H22" s="36">
        <v>0</v>
      </c>
      <c r="I22" s="56" t="str">
        <f t="shared" si="1"/>
        <v>Chưa bắt đầu</v>
      </c>
      <c r="J22" s="37"/>
    </row>
    <row r="23" spans="1:10" s="31" customFormat="1" x14ac:dyDescent="0.2">
      <c r="A23" s="32" t="str">
        <f>IF(ISBLANK(B23),"",MAX($A$6:A22)+1)</f>
        <v/>
      </c>
      <c r="B23" s="33"/>
      <c r="C23" s="34"/>
      <c r="D23" s="34"/>
      <c r="E23" s="49">
        <f>IFERROR(INDEX(Data!$E$3:$F$4,MATCH($C23,Data!$D$3:$D$4,0),MATCH($D23,Data!$E$2:$F$2,0)),5)</f>
        <v>5</v>
      </c>
      <c r="F23" s="35"/>
      <c r="G23" s="52">
        <f t="shared" ca="1" si="0"/>
        <v>-44494</v>
      </c>
      <c r="H23" s="36"/>
      <c r="I23" s="56" t="str">
        <f t="shared" si="1"/>
        <v>Chưa bắt đầu</v>
      </c>
      <c r="J23" s="37"/>
    </row>
    <row r="24" spans="1:10" s="31" customFormat="1" x14ac:dyDescent="0.2">
      <c r="A24" s="32" t="str">
        <f>IF(ISBLANK(B24),"",MAX($A$6:A23)+1)</f>
        <v/>
      </c>
      <c r="B24" s="33"/>
      <c r="C24" s="34"/>
      <c r="D24" s="34"/>
      <c r="E24" s="49">
        <f>IFERROR(INDEX(Data!$E$3:$F$4,MATCH($C24,Data!$D$3:$D$4,0),MATCH($D24,Data!$E$2:$F$2,0)),5)</f>
        <v>5</v>
      </c>
      <c r="F24" s="35"/>
      <c r="G24" s="52">
        <f t="shared" ca="1" si="0"/>
        <v>-44494</v>
      </c>
      <c r="H24" s="36"/>
      <c r="I24" s="56" t="str">
        <f t="shared" si="1"/>
        <v>Chưa bắt đầu</v>
      </c>
      <c r="J24" s="37"/>
    </row>
    <row r="25" spans="1:10" s="31" customFormat="1" x14ac:dyDescent="0.2">
      <c r="A25" s="32" t="str">
        <f>IF(ISBLANK(B25),"",MAX($A$6:A24)+1)</f>
        <v/>
      </c>
      <c r="B25" s="33"/>
      <c r="C25" s="34"/>
      <c r="D25" s="34"/>
      <c r="E25" s="49">
        <f>IFERROR(INDEX(Data!$E$3:$F$4,MATCH($C25,Data!$D$3:$D$4,0),MATCH($D25,Data!$E$2:$F$2,0)),5)</f>
        <v>5</v>
      </c>
      <c r="F25" s="35"/>
      <c r="G25" s="52">
        <f t="shared" ca="1" si="0"/>
        <v>-44494</v>
      </c>
      <c r="H25" s="36"/>
      <c r="I25" s="56" t="str">
        <f t="shared" si="1"/>
        <v>Chưa bắt đầu</v>
      </c>
      <c r="J25" s="37"/>
    </row>
    <row r="26" spans="1:10" s="31" customFormat="1" x14ac:dyDescent="0.2">
      <c r="A26" s="32" t="str">
        <f>IF(ISBLANK(B26),"",MAX($A$6:A25)+1)</f>
        <v/>
      </c>
      <c r="B26" s="33"/>
      <c r="C26" s="34"/>
      <c r="D26" s="34"/>
      <c r="E26" s="49">
        <f>IFERROR(INDEX(Data!$E$3:$F$4,MATCH($C26,Data!$D$3:$D$4,0),MATCH($D26,Data!$E$2:$F$2,0)),5)</f>
        <v>5</v>
      </c>
      <c r="F26" s="35"/>
      <c r="G26" s="52">
        <f t="shared" ca="1" si="0"/>
        <v>-44494</v>
      </c>
      <c r="H26" s="36"/>
      <c r="I26" s="56" t="str">
        <f t="shared" si="1"/>
        <v>Chưa bắt đầu</v>
      </c>
      <c r="J26" s="37"/>
    </row>
    <row r="27" spans="1:10" s="31" customFormat="1" x14ac:dyDescent="0.2">
      <c r="A27" s="32" t="str">
        <f>IF(ISBLANK(B27),"",MAX($A$6:A26)+1)</f>
        <v/>
      </c>
      <c r="B27" s="33"/>
      <c r="C27" s="34"/>
      <c r="D27" s="34"/>
      <c r="E27" s="49">
        <f>IFERROR(INDEX(Data!$E$3:$F$4,MATCH($C27,Data!$D$3:$D$4,0),MATCH($D27,Data!$E$2:$F$2,0)),5)</f>
        <v>5</v>
      </c>
      <c r="F27" s="35"/>
      <c r="G27" s="52">
        <f t="shared" ca="1" si="0"/>
        <v>-44494</v>
      </c>
      <c r="H27" s="36"/>
      <c r="I27" s="56" t="str">
        <f t="shared" si="1"/>
        <v>Chưa bắt đầu</v>
      </c>
      <c r="J27" s="37"/>
    </row>
    <row r="28" spans="1:10" s="31" customFormat="1" x14ac:dyDescent="0.2">
      <c r="A28" s="32" t="str">
        <f>IF(ISBLANK(B28),"",MAX($A$6:A27)+1)</f>
        <v/>
      </c>
      <c r="B28" s="33"/>
      <c r="C28" s="34"/>
      <c r="D28" s="34"/>
      <c r="E28" s="49">
        <f>IFERROR(INDEX(Data!$E$3:$F$4,MATCH($C28,Data!$D$3:$D$4,0),MATCH($D28,Data!$E$2:$F$2,0)),5)</f>
        <v>5</v>
      </c>
      <c r="F28" s="35"/>
      <c r="G28" s="52">
        <f t="shared" ca="1" si="0"/>
        <v>-44494</v>
      </c>
      <c r="H28" s="36"/>
      <c r="I28" s="56" t="str">
        <f t="shared" si="1"/>
        <v>Chưa bắt đầu</v>
      </c>
      <c r="J28" s="37"/>
    </row>
    <row r="29" spans="1:10" s="31" customFormat="1" x14ac:dyDescent="0.2">
      <c r="A29" s="32" t="str">
        <f>IF(ISBLANK(B29),"",MAX($A$6:A28)+1)</f>
        <v/>
      </c>
      <c r="B29" s="33"/>
      <c r="C29" s="34"/>
      <c r="D29" s="34"/>
      <c r="E29" s="49">
        <f>IFERROR(INDEX(Data!$E$3:$F$4,MATCH($C29,Data!$D$3:$D$4,0),MATCH($D29,Data!$E$2:$F$2,0)),5)</f>
        <v>5</v>
      </c>
      <c r="F29" s="35"/>
      <c r="G29" s="52">
        <f t="shared" ca="1" si="0"/>
        <v>-44494</v>
      </c>
      <c r="H29" s="36"/>
      <c r="I29" s="56" t="str">
        <f t="shared" si="1"/>
        <v>Chưa bắt đầu</v>
      </c>
      <c r="J29" s="37"/>
    </row>
    <row r="30" spans="1:10" s="31" customFormat="1" x14ac:dyDescent="0.2">
      <c r="A30" s="32" t="str">
        <f>IF(ISBLANK(B30),"",MAX($A$6:A29)+1)</f>
        <v/>
      </c>
      <c r="B30" s="33"/>
      <c r="C30" s="34"/>
      <c r="D30" s="34"/>
      <c r="E30" s="49">
        <f>IFERROR(INDEX(Data!$E$3:$F$4,MATCH($C30,Data!$D$3:$D$4,0),MATCH($D30,Data!$E$2:$F$2,0)),5)</f>
        <v>5</v>
      </c>
      <c r="F30" s="35"/>
      <c r="G30" s="52">
        <f t="shared" ca="1" si="0"/>
        <v>-44494</v>
      </c>
      <c r="H30" s="36"/>
      <c r="I30" s="56" t="str">
        <f t="shared" si="1"/>
        <v>Chưa bắt đầu</v>
      </c>
      <c r="J30" s="37"/>
    </row>
    <row r="31" spans="1:10" s="31" customFormat="1" x14ac:dyDescent="0.2">
      <c r="A31" s="32" t="str">
        <f>IF(ISBLANK(B31),"",MAX($A$6:A30)+1)</f>
        <v/>
      </c>
      <c r="B31" s="33"/>
      <c r="C31" s="34"/>
      <c r="D31" s="34"/>
      <c r="E31" s="49">
        <f>IFERROR(INDEX(Data!$E$3:$F$4,MATCH($C31,Data!$D$3:$D$4,0),MATCH($D31,Data!$E$2:$F$2,0)),5)</f>
        <v>5</v>
      </c>
      <c r="F31" s="35"/>
      <c r="G31" s="52">
        <f t="shared" ca="1" si="0"/>
        <v>-44494</v>
      </c>
      <c r="H31" s="36"/>
      <c r="I31" s="56" t="str">
        <f t="shared" si="1"/>
        <v>Chưa bắt đầu</v>
      </c>
      <c r="J31" s="37"/>
    </row>
    <row r="32" spans="1:10" s="31" customFormat="1" x14ac:dyDescent="0.2">
      <c r="A32" s="32" t="str">
        <f>IF(ISBLANK(B32),"",MAX($A$6:A31)+1)</f>
        <v/>
      </c>
      <c r="B32" s="33"/>
      <c r="C32" s="34"/>
      <c r="D32" s="34"/>
      <c r="E32" s="49">
        <f>IFERROR(INDEX(Data!$E$3:$F$4,MATCH($C32,Data!$D$3:$D$4,0),MATCH($D32,Data!$E$2:$F$2,0)),5)</f>
        <v>5</v>
      </c>
      <c r="F32" s="35"/>
      <c r="G32" s="52">
        <f t="shared" ca="1" si="0"/>
        <v>-44494</v>
      </c>
      <c r="H32" s="36"/>
      <c r="I32" s="56" t="str">
        <f t="shared" si="1"/>
        <v>Chưa bắt đầu</v>
      </c>
      <c r="J32" s="37"/>
    </row>
    <row r="33" spans="1:10" s="31" customFormat="1" x14ac:dyDescent="0.2">
      <c r="A33" s="32" t="str">
        <f>IF(ISBLANK(B33),"",MAX($A$6:A32)+1)</f>
        <v/>
      </c>
      <c r="B33" s="33"/>
      <c r="C33" s="34"/>
      <c r="D33" s="34"/>
      <c r="E33" s="49">
        <f>IFERROR(INDEX(Data!$E$3:$F$4,MATCH($C33,Data!$D$3:$D$4,0),MATCH($D33,Data!$E$2:$F$2,0)),5)</f>
        <v>5</v>
      </c>
      <c r="F33" s="35"/>
      <c r="G33" s="52">
        <f t="shared" ca="1" si="0"/>
        <v>-44494</v>
      </c>
      <c r="H33" s="36"/>
      <c r="I33" s="56" t="str">
        <f t="shared" si="1"/>
        <v>Chưa bắt đầu</v>
      </c>
      <c r="J33" s="37"/>
    </row>
    <row r="34" spans="1:10" s="31" customFormat="1" x14ac:dyDescent="0.2">
      <c r="A34" s="32" t="str">
        <f>IF(ISBLANK(B34),"",MAX($A$6:A33)+1)</f>
        <v/>
      </c>
      <c r="B34" s="33"/>
      <c r="C34" s="34"/>
      <c r="D34" s="34"/>
      <c r="E34" s="49">
        <f>IFERROR(INDEX(Data!$E$3:$F$4,MATCH($C34,Data!$D$3:$D$4,0),MATCH($D34,Data!$E$2:$F$2,0)),5)</f>
        <v>5</v>
      </c>
      <c r="F34" s="35"/>
      <c r="G34" s="52">
        <f t="shared" ca="1" si="0"/>
        <v>-44494</v>
      </c>
      <c r="H34" s="36"/>
      <c r="I34" s="56" t="str">
        <f t="shared" si="1"/>
        <v>Chưa bắt đầu</v>
      </c>
      <c r="J34" s="37"/>
    </row>
    <row r="35" spans="1:10" s="31" customFormat="1" x14ac:dyDescent="0.2">
      <c r="A35" s="32" t="str">
        <f>IF(ISBLANK(B35),"",MAX($A$6:A34)+1)</f>
        <v/>
      </c>
      <c r="B35" s="33"/>
      <c r="C35" s="34"/>
      <c r="D35" s="34"/>
      <c r="E35" s="49">
        <f>IFERROR(INDEX(Data!$E$3:$F$4,MATCH($C35,Data!$D$3:$D$4,0),MATCH($D35,Data!$E$2:$F$2,0)),5)</f>
        <v>5</v>
      </c>
      <c r="F35" s="35"/>
      <c r="G35" s="52">
        <f t="shared" ca="1" si="0"/>
        <v>-44494</v>
      </c>
      <c r="H35" s="36"/>
      <c r="I35" s="56" t="str">
        <f t="shared" si="1"/>
        <v>Chưa bắt đầu</v>
      </c>
      <c r="J35" s="37"/>
    </row>
    <row r="36" spans="1:10" s="31" customFormat="1" x14ac:dyDescent="0.2">
      <c r="A36" s="32" t="str">
        <f>IF(ISBLANK(B36),"",MAX($A$6:A35)+1)</f>
        <v/>
      </c>
      <c r="B36" s="33"/>
      <c r="C36" s="34"/>
      <c r="D36" s="34"/>
      <c r="E36" s="49">
        <f>IFERROR(INDEX(Data!$E$3:$F$4,MATCH($C36,Data!$D$3:$D$4,0),MATCH($D36,Data!$E$2:$F$2,0)),5)</f>
        <v>5</v>
      </c>
      <c r="F36" s="35"/>
      <c r="G36" s="52">
        <f t="shared" ca="1" si="0"/>
        <v>-44494</v>
      </c>
      <c r="H36" s="36"/>
      <c r="I36" s="56" t="str">
        <f t="shared" si="1"/>
        <v>Chưa bắt đầu</v>
      </c>
      <c r="J36" s="37"/>
    </row>
    <row r="37" spans="1:10" s="31" customFormat="1" x14ac:dyDescent="0.2">
      <c r="A37" s="32" t="str">
        <f>IF(ISBLANK(B37),"",MAX($A$6:A36)+1)</f>
        <v/>
      </c>
      <c r="B37" s="33"/>
      <c r="C37" s="34"/>
      <c r="D37" s="34"/>
      <c r="E37" s="49">
        <f>IFERROR(INDEX(Data!$E$3:$F$4,MATCH($C37,Data!$D$3:$D$4,0),MATCH($D37,Data!$E$2:$F$2,0)),5)</f>
        <v>5</v>
      </c>
      <c r="F37" s="35"/>
      <c r="G37" s="52">
        <f t="shared" ca="1" si="0"/>
        <v>-44494</v>
      </c>
      <c r="H37" s="36"/>
      <c r="I37" s="56" t="str">
        <f t="shared" si="1"/>
        <v>Chưa bắt đầu</v>
      </c>
      <c r="J37" s="37"/>
    </row>
    <row r="38" spans="1:10" s="31" customFormat="1" x14ac:dyDescent="0.2">
      <c r="A38" s="32" t="str">
        <f>IF(ISBLANK(B38),"",MAX($A$6:A37)+1)</f>
        <v/>
      </c>
      <c r="B38" s="33"/>
      <c r="C38" s="34"/>
      <c r="D38" s="34"/>
      <c r="E38" s="49">
        <f>IFERROR(INDEX(Data!$E$3:$F$4,MATCH($C38,Data!$D$3:$D$4,0),MATCH($D38,Data!$E$2:$F$2,0)),5)</f>
        <v>5</v>
      </c>
      <c r="F38" s="35"/>
      <c r="G38" s="52">
        <f t="shared" ca="1" si="0"/>
        <v>-44494</v>
      </c>
      <c r="H38" s="36"/>
      <c r="I38" s="56" t="str">
        <f t="shared" si="1"/>
        <v>Chưa bắt đầu</v>
      </c>
      <c r="J38" s="37"/>
    </row>
    <row r="39" spans="1:10" s="31" customFormat="1" x14ac:dyDescent="0.2">
      <c r="A39" s="32" t="str">
        <f>IF(ISBLANK(B39),"",MAX($A$6:A38)+1)</f>
        <v/>
      </c>
      <c r="B39" s="33"/>
      <c r="C39" s="34"/>
      <c r="D39" s="34"/>
      <c r="E39" s="49">
        <f>IFERROR(INDEX(Data!$E$3:$F$4,MATCH($C39,Data!$D$3:$D$4,0),MATCH($D39,Data!$E$2:$F$2,0)),5)</f>
        <v>5</v>
      </c>
      <c r="F39" s="35"/>
      <c r="G39" s="52">
        <f t="shared" ref="G39:G70" ca="1" si="2">F39-TODAY()</f>
        <v>-44494</v>
      </c>
      <c r="H39" s="36"/>
      <c r="I39" s="56" t="str">
        <f t="shared" ref="I39:I70" si="3">IF(H39=0%,"Chưa bắt đầu",IF(H39=100%,"Đã hoàn thành",IF(G39&lt;0, "Quá hạn","Đang thực hiện")))</f>
        <v>Chưa bắt đầu</v>
      </c>
      <c r="J39" s="37"/>
    </row>
    <row r="40" spans="1:10" s="31" customFormat="1" x14ac:dyDescent="0.2">
      <c r="A40" s="32" t="str">
        <f>IF(ISBLANK(B40),"",MAX($A$6:A39)+1)</f>
        <v/>
      </c>
      <c r="B40" s="33"/>
      <c r="C40" s="34"/>
      <c r="D40" s="34"/>
      <c r="E40" s="49">
        <f>IFERROR(INDEX(Data!$E$3:$F$4,MATCH($C40,Data!$D$3:$D$4,0),MATCH($D40,Data!$E$2:$F$2,0)),5)</f>
        <v>5</v>
      </c>
      <c r="F40" s="35"/>
      <c r="G40" s="52">
        <f t="shared" ca="1" si="2"/>
        <v>-44494</v>
      </c>
      <c r="H40" s="36"/>
      <c r="I40" s="56" t="str">
        <f t="shared" si="3"/>
        <v>Chưa bắt đầu</v>
      </c>
      <c r="J40" s="37"/>
    </row>
    <row r="41" spans="1:10" s="31" customFormat="1" x14ac:dyDescent="0.2">
      <c r="A41" s="32" t="str">
        <f>IF(ISBLANK(B41),"",MAX($A$6:A40)+1)</f>
        <v/>
      </c>
      <c r="B41" s="33"/>
      <c r="C41" s="34"/>
      <c r="D41" s="34"/>
      <c r="E41" s="49">
        <f>IFERROR(INDEX(Data!$E$3:$F$4,MATCH($C41,Data!$D$3:$D$4,0),MATCH($D41,Data!$E$2:$F$2,0)),5)</f>
        <v>5</v>
      </c>
      <c r="F41" s="35"/>
      <c r="G41" s="52">
        <f t="shared" ca="1" si="2"/>
        <v>-44494</v>
      </c>
      <c r="H41" s="36"/>
      <c r="I41" s="56" t="str">
        <f t="shared" si="3"/>
        <v>Chưa bắt đầu</v>
      </c>
      <c r="J41" s="37"/>
    </row>
    <row r="42" spans="1:10" s="31" customFormat="1" x14ac:dyDescent="0.2">
      <c r="A42" s="32" t="str">
        <f>IF(ISBLANK(B42),"",MAX($A$6:A41)+1)</f>
        <v/>
      </c>
      <c r="B42" s="33"/>
      <c r="C42" s="34"/>
      <c r="D42" s="34"/>
      <c r="E42" s="49">
        <f>IFERROR(INDEX(Data!$E$3:$F$4,MATCH($C42,Data!$D$3:$D$4,0),MATCH($D42,Data!$E$2:$F$2,0)),5)</f>
        <v>5</v>
      </c>
      <c r="F42" s="35"/>
      <c r="G42" s="52">
        <f t="shared" ca="1" si="2"/>
        <v>-44494</v>
      </c>
      <c r="H42" s="36"/>
      <c r="I42" s="56" t="str">
        <f t="shared" si="3"/>
        <v>Chưa bắt đầu</v>
      </c>
      <c r="J42" s="37"/>
    </row>
    <row r="43" spans="1:10" s="31" customFormat="1" x14ac:dyDescent="0.2">
      <c r="A43" s="32" t="str">
        <f>IF(ISBLANK(B43),"",MAX($A$6:A42)+1)</f>
        <v/>
      </c>
      <c r="B43" s="33"/>
      <c r="C43" s="34"/>
      <c r="D43" s="34"/>
      <c r="E43" s="49">
        <f>IFERROR(INDEX(Data!$E$3:$F$4,MATCH($C43,Data!$D$3:$D$4,0),MATCH($D43,Data!$E$2:$F$2,0)),5)</f>
        <v>5</v>
      </c>
      <c r="F43" s="35"/>
      <c r="G43" s="52">
        <f t="shared" ca="1" si="2"/>
        <v>-44494</v>
      </c>
      <c r="H43" s="36"/>
      <c r="I43" s="56" t="str">
        <f t="shared" si="3"/>
        <v>Chưa bắt đầu</v>
      </c>
      <c r="J43" s="37"/>
    </row>
    <row r="44" spans="1:10" s="31" customFormat="1" x14ac:dyDescent="0.2">
      <c r="A44" s="32" t="str">
        <f>IF(ISBLANK(B44),"",MAX($A$6:A43)+1)</f>
        <v/>
      </c>
      <c r="B44" s="33"/>
      <c r="C44" s="34"/>
      <c r="D44" s="34"/>
      <c r="E44" s="49">
        <f>IFERROR(INDEX(Data!$E$3:$F$4,MATCH($C44,Data!$D$3:$D$4,0),MATCH($D44,Data!$E$2:$F$2,0)),5)</f>
        <v>5</v>
      </c>
      <c r="F44" s="35"/>
      <c r="G44" s="52">
        <f t="shared" ca="1" si="2"/>
        <v>-44494</v>
      </c>
      <c r="H44" s="36"/>
      <c r="I44" s="56" t="str">
        <f t="shared" si="3"/>
        <v>Chưa bắt đầu</v>
      </c>
      <c r="J44" s="37"/>
    </row>
    <row r="45" spans="1:10" s="31" customFormat="1" x14ac:dyDescent="0.2">
      <c r="A45" s="32" t="str">
        <f>IF(ISBLANK(B45),"",MAX($A$6:A44)+1)</f>
        <v/>
      </c>
      <c r="B45" s="33"/>
      <c r="C45" s="34"/>
      <c r="D45" s="34"/>
      <c r="E45" s="49">
        <f>IFERROR(INDEX(Data!$E$3:$F$4,MATCH($C45,Data!$D$3:$D$4,0),MATCH($D45,Data!$E$2:$F$2,0)),5)</f>
        <v>5</v>
      </c>
      <c r="F45" s="35"/>
      <c r="G45" s="52">
        <f t="shared" ca="1" si="2"/>
        <v>-44494</v>
      </c>
      <c r="H45" s="36"/>
      <c r="I45" s="56" t="str">
        <f t="shared" si="3"/>
        <v>Chưa bắt đầu</v>
      </c>
      <c r="J45" s="37"/>
    </row>
    <row r="46" spans="1:10" s="31" customFormat="1" x14ac:dyDescent="0.2">
      <c r="A46" s="32" t="str">
        <f>IF(ISBLANK(B46),"",MAX($A$6:A45)+1)</f>
        <v/>
      </c>
      <c r="B46" s="33"/>
      <c r="C46" s="34"/>
      <c r="D46" s="34"/>
      <c r="E46" s="49">
        <f>IFERROR(INDEX(Data!$E$3:$F$4,MATCH($C46,Data!$D$3:$D$4,0),MATCH($D46,Data!$E$2:$F$2,0)),5)</f>
        <v>5</v>
      </c>
      <c r="F46" s="35"/>
      <c r="G46" s="52">
        <f t="shared" ca="1" si="2"/>
        <v>-44494</v>
      </c>
      <c r="H46" s="36"/>
      <c r="I46" s="56" t="str">
        <f t="shared" si="3"/>
        <v>Chưa bắt đầu</v>
      </c>
      <c r="J46" s="37"/>
    </row>
    <row r="47" spans="1:10" s="31" customFormat="1" x14ac:dyDescent="0.2">
      <c r="A47" s="32" t="str">
        <f>IF(ISBLANK(B47),"",MAX($A$6:A46)+1)</f>
        <v/>
      </c>
      <c r="B47" s="33"/>
      <c r="C47" s="34"/>
      <c r="D47" s="34"/>
      <c r="E47" s="49">
        <f>IFERROR(INDEX(Data!$E$3:$F$4,MATCH($C47,Data!$D$3:$D$4,0),MATCH($D47,Data!$E$2:$F$2,0)),5)</f>
        <v>5</v>
      </c>
      <c r="F47" s="35"/>
      <c r="G47" s="52">
        <f t="shared" ca="1" si="2"/>
        <v>-44494</v>
      </c>
      <c r="H47" s="36"/>
      <c r="I47" s="56" t="str">
        <f t="shared" si="3"/>
        <v>Chưa bắt đầu</v>
      </c>
      <c r="J47" s="37"/>
    </row>
    <row r="48" spans="1:10" s="31" customFormat="1" x14ac:dyDescent="0.2">
      <c r="A48" s="32" t="str">
        <f>IF(ISBLANK(B48),"",MAX($A$6:A47)+1)</f>
        <v/>
      </c>
      <c r="B48" s="33"/>
      <c r="C48" s="34"/>
      <c r="D48" s="34"/>
      <c r="E48" s="49">
        <f>IFERROR(INDEX(Data!$E$3:$F$4,MATCH($C48,Data!$D$3:$D$4,0),MATCH($D48,Data!$E$2:$F$2,0)),5)</f>
        <v>5</v>
      </c>
      <c r="F48" s="35"/>
      <c r="G48" s="52">
        <f t="shared" ca="1" si="2"/>
        <v>-44494</v>
      </c>
      <c r="H48" s="36"/>
      <c r="I48" s="56" t="str">
        <f t="shared" si="3"/>
        <v>Chưa bắt đầu</v>
      </c>
      <c r="J48" s="37"/>
    </row>
    <row r="49" spans="1:10" s="31" customFormat="1" x14ac:dyDescent="0.2">
      <c r="A49" s="32" t="str">
        <f>IF(ISBLANK(B49),"",MAX($A$6:A48)+1)</f>
        <v/>
      </c>
      <c r="B49" s="33"/>
      <c r="C49" s="34"/>
      <c r="D49" s="34"/>
      <c r="E49" s="49">
        <f>IFERROR(INDEX(Data!$E$3:$F$4,MATCH($C49,Data!$D$3:$D$4,0),MATCH($D49,Data!$E$2:$F$2,0)),5)</f>
        <v>5</v>
      </c>
      <c r="F49" s="35"/>
      <c r="G49" s="52">
        <f t="shared" ca="1" si="2"/>
        <v>-44494</v>
      </c>
      <c r="H49" s="36"/>
      <c r="I49" s="56" t="str">
        <f t="shared" si="3"/>
        <v>Chưa bắt đầu</v>
      </c>
      <c r="J49" s="37"/>
    </row>
    <row r="50" spans="1:10" s="31" customFormat="1" x14ac:dyDescent="0.2">
      <c r="A50" s="32" t="str">
        <f>IF(ISBLANK(B50),"",MAX($A$6:A49)+1)</f>
        <v/>
      </c>
      <c r="B50" s="33"/>
      <c r="C50" s="34"/>
      <c r="D50" s="34"/>
      <c r="E50" s="49">
        <f>IFERROR(INDEX(Data!$E$3:$F$4,MATCH($C50,Data!$D$3:$D$4,0),MATCH($D50,Data!$E$2:$F$2,0)),5)</f>
        <v>5</v>
      </c>
      <c r="F50" s="35"/>
      <c r="G50" s="52">
        <f t="shared" ca="1" si="2"/>
        <v>-44494</v>
      </c>
      <c r="H50" s="36"/>
      <c r="I50" s="56" t="str">
        <f t="shared" si="3"/>
        <v>Chưa bắt đầu</v>
      </c>
      <c r="J50" s="37"/>
    </row>
    <row r="51" spans="1:10" s="31" customFormat="1" x14ac:dyDescent="0.2">
      <c r="A51" s="32" t="str">
        <f>IF(ISBLANK(B51),"",MAX($A$6:A50)+1)</f>
        <v/>
      </c>
      <c r="B51" s="33"/>
      <c r="C51" s="34"/>
      <c r="D51" s="34"/>
      <c r="E51" s="49">
        <f>IFERROR(INDEX(Data!$E$3:$F$4,MATCH($C51,Data!$D$3:$D$4,0),MATCH($D51,Data!$E$2:$F$2,0)),5)</f>
        <v>5</v>
      </c>
      <c r="F51" s="35"/>
      <c r="G51" s="52">
        <f t="shared" ca="1" si="2"/>
        <v>-44494</v>
      </c>
      <c r="H51" s="36"/>
      <c r="I51" s="56" t="str">
        <f t="shared" si="3"/>
        <v>Chưa bắt đầu</v>
      </c>
      <c r="J51" s="37"/>
    </row>
    <row r="52" spans="1:10" s="31" customFormat="1" x14ac:dyDescent="0.2">
      <c r="A52" s="32" t="str">
        <f>IF(ISBLANK(B52),"",MAX($A$6:A51)+1)</f>
        <v/>
      </c>
      <c r="B52" s="33"/>
      <c r="C52" s="34"/>
      <c r="D52" s="34"/>
      <c r="E52" s="49">
        <f>IFERROR(INDEX(Data!$E$3:$F$4,MATCH($C52,Data!$D$3:$D$4,0),MATCH($D52,Data!$E$2:$F$2,0)),5)</f>
        <v>5</v>
      </c>
      <c r="F52" s="35"/>
      <c r="G52" s="52">
        <f t="shared" ca="1" si="2"/>
        <v>-44494</v>
      </c>
      <c r="H52" s="36"/>
      <c r="I52" s="56" t="str">
        <f t="shared" si="3"/>
        <v>Chưa bắt đầu</v>
      </c>
      <c r="J52" s="37"/>
    </row>
    <row r="53" spans="1:10" s="31" customFormat="1" x14ac:dyDescent="0.2">
      <c r="A53" s="32" t="str">
        <f>IF(ISBLANK(B53),"",MAX($A$6:A52)+1)</f>
        <v/>
      </c>
      <c r="B53" s="33"/>
      <c r="C53" s="34"/>
      <c r="D53" s="34"/>
      <c r="E53" s="49">
        <f>IFERROR(INDEX(Data!$E$3:$F$4,MATCH($C53,Data!$D$3:$D$4,0),MATCH($D53,Data!$E$2:$F$2,0)),5)</f>
        <v>5</v>
      </c>
      <c r="F53" s="35"/>
      <c r="G53" s="52">
        <f t="shared" ca="1" si="2"/>
        <v>-44494</v>
      </c>
      <c r="H53" s="36"/>
      <c r="I53" s="56" t="str">
        <f t="shared" si="3"/>
        <v>Chưa bắt đầu</v>
      </c>
      <c r="J53" s="37"/>
    </row>
    <row r="54" spans="1:10" s="31" customFormat="1" x14ac:dyDescent="0.2">
      <c r="A54" s="32" t="str">
        <f>IF(ISBLANK(B54),"",MAX($A$6:A53)+1)</f>
        <v/>
      </c>
      <c r="B54" s="33"/>
      <c r="C54" s="34"/>
      <c r="D54" s="34"/>
      <c r="E54" s="49">
        <f>IFERROR(INDEX(Data!$E$3:$F$4,MATCH($C54,Data!$D$3:$D$4,0),MATCH($D54,Data!$E$2:$F$2,0)),5)</f>
        <v>5</v>
      </c>
      <c r="F54" s="35"/>
      <c r="G54" s="52">
        <f t="shared" ca="1" si="2"/>
        <v>-44494</v>
      </c>
      <c r="H54" s="36"/>
      <c r="I54" s="56" t="str">
        <f t="shared" si="3"/>
        <v>Chưa bắt đầu</v>
      </c>
      <c r="J54" s="37"/>
    </row>
    <row r="55" spans="1:10" s="31" customFormat="1" x14ac:dyDescent="0.2">
      <c r="A55" s="32" t="str">
        <f>IF(ISBLANK(B55),"",MAX($A$6:A54)+1)</f>
        <v/>
      </c>
      <c r="B55" s="33"/>
      <c r="C55" s="34"/>
      <c r="D55" s="34"/>
      <c r="E55" s="49">
        <f>IFERROR(INDEX(Data!$E$3:$F$4,MATCH($C55,Data!$D$3:$D$4,0),MATCH($D55,Data!$E$2:$F$2,0)),5)</f>
        <v>5</v>
      </c>
      <c r="F55" s="35"/>
      <c r="G55" s="52">
        <f t="shared" ca="1" si="2"/>
        <v>-44494</v>
      </c>
      <c r="H55" s="36"/>
      <c r="I55" s="56" t="str">
        <f t="shared" si="3"/>
        <v>Chưa bắt đầu</v>
      </c>
      <c r="J55" s="37"/>
    </row>
    <row r="56" spans="1:10" s="31" customFormat="1" x14ac:dyDescent="0.2">
      <c r="A56" s="32" t="str">
        <f>IF(ISBLANK(B56),"",MAX($A$6:A55)+1)</f>
        <v/>
      </c>
      <c r="B56" s="33"/>
      <c r="C56" s="34"/>
      <c r="D56" s="34"/>
      <c r="E56" s="49">
        <f>IFERROR(INDEX(Data!$E$3:$F$4,MATCH($C56,Data!$D$3:$D$4,0),MATCH($D56,Data!$E$2:$F$2,0)),5)</f>
        <v>5</v>
      </c>
      <c r="F56" s="35"/>
      <c r="G56" s="52">
        <f t="shared" ca="1" si="2"/>
        <v>-44494</v>
      </c>
      <c r="H56" s="36"/>
      <c r="I56" s="56" t="str">
        <f t="shared" si="3"/>
        <v>Chưa bắt đầu</v>
      </c>
      <c r="J56" s="37"/>
    </row>
    <row r="57" spans="1:10" s="31" customFormat="1" x14ac:dyDescent="0.2">
      <c r="A57" s="32" t="str">
        <f>IF(ISBLANK(B57),"",MAX($A$6:A56)+1)</f>
        <v/>
      </c>
      <c r="B57" s="33"/>
      <c r="C57" s="34"/>
      <c r="D57" s="34"/>
      <c r="E57" s="49">
        <f>IFERROR(INDEX(Data!$E$3:$F$4,MATCH($C57,Data!$D$3:$D$4,0),MATCH($D57,Data!$E$2:$F$2,0)),5)</f>
        <v>5</v>
      </c>
      <c r="F57" s="35"/>
      <c r="G57" s="52">
        <f t="shared" ca="1" si="2"/>
        <v>-44494</v>
      </c>
      <c r="H57" s="36"/>
      <c r="I57" s="56" t="str">
        <f t="shared" si="3"/>
        <v>Chưa bắt đầu</v>
      </c>
      <c r="J57" s="37"/>
    </row>
    <row r="58" spans="1:10" s="31" customFormat="1" x14ac:dyDescent="0.2">
      <c r="A58" s="32" t="str">
        <f>IF(ISBLANK(B58),"",MAX($A$6:A57)+1)</f>
        <v/>
      </c>
      <c r="B58" s="33"/>
      <c r="C58" s="34"/>
      <c r="D58" s="34"/>
      <c r="E58" s="49">
        <f>IFERROR(INDEX(Data!$E$3:$F$4,MATCH($C58,Data!$D$3:$D$4,0),MATCH($D58,Data!$E$2:$F$2,0)),5)</f>
        <v>5</v>
      </c>
      <c r="F58" s="35"/>
      <c r="G58" s="52">
        <f t="shared" ca="1" si="2"/>
        <v>-44494</v>
      </c>
      <c r="H58" s="36"/>
      <c r="I58" s="56" t="str">
        <f t="shared" si="3"/>
        <v>Chưa bắt đầu</v>
      </c>
      <c r="J58" s="37"/>
    </row>
    <row r="59" spans="1:10" s="31" customFormat="1" x14ac:dyDescent="0.2">
      <c r="A59" s="32" t="str">
        <f>IF(ISBLANK(B59),"",MAX($A$6:A58)+1)</f>
        <v/>
      </c>
      <c r="B59" s="33"/>
      <c r="C59" s="34"/>
      <c r="D59" s="34"/>
      <c r="E59" s="49">
        <f>IFERROR(INDEX(Data!$E$3:$F$4,MATCH($C59,Data!$D$3:$D$4,0),MATCH($D59,Data!$E$2:$F$2,0)),5)</f>
        <v>5</v>
      </c>
      <c r="F59" s="35"/>
      <c r="G59" s="52">
        <f t="shared" ca="1" si="2"/>
        <v>-44494</v>
      </c>
      <c r="H59" s="36"/>
      <c r="I59" s="56" t="str">
        <f t="shared" si="3"/>
        <v>Chưa bắt đầu</v>
      </c>
      <c r="J59" s="37"/>
    </row>
    <row r="60" spans="1:10" s="31" customFormat="1" x14ac:dyDescent="0.2">
      <c r="A60" s="32" t="str">
        <f>IF(ISBLANK(B60),"",MAX($A$6:A59)+1)</f>
        <v/>
      </c>
      <c r="B60" s="33"/>
      <c r="C60" s="34"/>
      <c r="D60" s="34"/>
      <c r="E60" s="49">
        <f>IFERROR(INDEX(Data!$E$3:$F$4,MATCH($C60,Data!$D$3:$D$4,0),MATCH($D60,Data!$E$2:$F$2,0)),5)</f>
        <v>5</v>
      </c>
      <c r="F60" s="35"/>
      <c r="G60" s="52">
        <f t="shared" ca="1" si="2"/>
        <v>-44494</v>
      </c>
      <c r="H60" s="36"/>
      <c r="I60" s="56" t="str">
        <f t="shared" si="3"/>
        <v>Chưa bắt đầu</v>
      </c>
      <c r="J60" s="37"/>
    </row>
    <row r="61" spans="1:10" s="31" customFormat="1" x14ac:dyDescent="0.2">
      <c r="A61" s="32" t="str">
        <f>IF(ISBLANK(B61),"",MAX($A$6:A60)+1)</f>
        <v/>
      </c>
      <c r="B61" s="33"/>
      <c r="C61" s="34"/>
      <c r="D61" s="34"/>
      <c r="E61" s="49">
        <f>IFERROR(INDEX(Data!$E$3:$F$4,MATCH($C61,Data!$D$3:$D$4,0),MATCH($D61,Data!$E$2:$F$2,0)),5)</f>
        <v>5</v>
      </c>
      <c r="F61" s="35"/>
      <c r="G61" s="52">
        <f t="shared" ca="1" si="2"/>
        <v>-44494</v>
      </c>
      <c r="H61" s="36"/>
      <c r="I61" s="56" t="str">
        <f t="shared" si="3"/>
        <v>Chưa bắt đầu</v>
      </c>
      <c r="J61" s="37"/>
    </row>
    <row r="62" spans="1:10" s="31" customFormat="1" x14ac:dyDescent="0.2">
      <c r="A62" s="32" t="str">
        <f>IF(ISBLANK(B62),"",MAX($A$6:A61)+1)</f>
        <v/>
      </c>
      <c r="B62" s="33"/>
      <c r="C62" s="34"/>
      <c r="D62" s="34"/>
      <c r="E62" s="49">
        <f>IFERROR(INDEX(Data!$E$3:$F$4,MATCH($C62,Data!$D$3:$D$4,0),MATCH($D62,Data!$E$2:$F$2,0)),5)</f>
        <v>5</v>
      </c>
      <c r="F62" s="35"/>
      <c r="G62" s="52">
        <f t="shared" ca="1" si="2"/>
        <v>-44494</v>
      </c>
      <c r="H62" s="36"/>
      <c r="I62" s="56" t="str">
        <f t="shared" si="3"/>
        <v>Chưa bắt đầu</v>
      </c>
      <c r="J62" s="37"/>
    </row>
    <row r="63" spans="1:10" s="31" customFormat="1" x14ac:dyDescent="0.2">
      <c r="A63" s="32" t="str">
        <f>IF(ISBLANK(B63),"",MAX($A$6:A62)+1)</f>
        <v/>
      </c>
      <c r="B63" s="33"/>
      <c r="C63" s="34"/>
      <c r="D63" s="34"/>
      <c r="E63" s="49">
        <f>IFERROR(INDEX(Data!$E$3:$F$4,MATCH($C63,Data!$D$3:$D$4,0),MATCH($D63,Data!$E$2:$F$2,0)),5)</f>
        <v>5</v>
      </c>
      <c r="F63" s="35"/>
      <c r="G63" s="52">
        <f t="shared" ca="1" si="2"/>
        <v>-44494</v>
      </c>
      <c r="H63" s="36"/>
      <c r="I63" s="56" t="str">
        <f t="shared" si="3"/>
        <v>Chưa bắt đầu</v>
      </c>
      <c r="J63" s="37"/>
    </row>
    <row r="64" spans="1:10" s="31" customFormat="1" x14ac:dyDescent="0.2">
      <c r="A64" s="32" t="str">
        <f>IF(ISBLANK(B64),"",MAX($A$6:A63)+1)</f>
        <v/>
      </c>
      <c r="B64" s="33"/>
      <c r="C64" s="34"/>
      <c r="D64" s="34"/>
      <c r="E64" s="49">
        <f>IFERROR(INDEX(Data!$E$3:$F$4,MATCH($C64,Data!$D$3:$D$4,0),MATCH($D64,Data!$E$2:$F$2,0)),5)</f>
        <v>5</v>
      </c>
      <c r="F64" s="35"/>
      <c r="G64" s="52">
        <f t="shared" ca="1" si="2"/>
        <v>-44494</v>
      </c>
      <c r="H64" s="36"/>
      <c r="I64" s="56" t="str">
        <f t="shared" si="3"/>
        <v>Chưa bắt đầu</v>
      </c>
      <c r="J64" s="37"/>
    </row>
    <row r="65" spans="1:10" s="31" customFormat="1" x14ac:dyDescent="0.2">
      <c r="A65" s="32" t="str">
        <f>IF(ISBLANK(B65),"",MAX($A$6:A64)+1)</f>
        <v/>
      </c>
      <c r="B65" s="33"/>
      <c r="C65" s="34"/>
      <c r="D65" s="34"/>
      <c r="E65" s="49">
        <f>IFERROR(INDEX(Data!$E$3:$F$4,MATCH($C65,Data!$D$3:$D$4,0),MATCH($D65,Data!$E$2:$F$2,0)),5)</f>
        <v>5</v>
      </c>
      <c r="F65" s="35"/>
      <c r="G65" s="52">
        <f t="shared" ca="1" si="2"/>
        <v>-44494</v>
      </c>
      <c r="H65" s="36"/>
      <c r="I65" s="56" t="str">
        <f t="shared" si="3"/>
        <v>Chưa bắt đầu</v>
      </c>
      <c r="J65" s="37"/>
    </row>
    <row r="66" spans="1:10" s="31" customFormat="1" x14ac:dyDescent="0.2">
      <c r="A66" s="32" t="str">
        <f>IF(ISBLANK(B66),"",MAX($A$6:A65)+1)</f>
        <v/>
      </c>
      <c r="B66" s="33"/>
      <c r="C66" s="34"/>
      <c r="D66" s="34"/>
      <c r="E66" s="49">
        <f>IFERROR(INDEX(Data!$E$3:$F$4,MATCH($C66,Data!$D$3:$D$4,0),MATCH($D66,Data!$E$2:$F$2,0)),5)</f>
        <v>5</v>
      </c>
      <c r="F66" s="35"/>
      <c r="G66" s="52">
        <f t="shared" ca="1" si="2"/>
        <v>-44494</v>
      </c>
      <c r="H66" s="36"/>
      <c r="I66" s="56" t="str">
        <f t="shared" si="3"/>
        <v>Chưa bắt đầu</v>
      </c>
      <c r="J66" s="37"/>
    </row>
    <row r="67" spans="1:10" s="31" customFormat="1" x14ac:dyDescent="0.2">
      <c r="A67" s="32" t="str">
        <f>IF(ISBLANK(B67),"",MAX($A$6:A66)+1)</f>
        <v/>
      </c>
      <c r="B67" s="33"/>
      <c r="C67" s="34"/>
      <c r="D67" s="34"/>
      <c r="E67" s="49">
        <f>IFERROR(INDEX(Data!$E$3:$F$4,MATCH($C67,Data!$D$3:$D$4,0),MATCH($D67,Data!$E$2:$F$2,0)),5)</f>
        <v>5</v>
      </c>
      <c r="F67" s="35"/>
      <c r="G67" s="52">
        <f t="shared" ca="1" si="2"/>
        <v>-44494</v>
      </c>
      <c r="H67" s="36"/>
      <c r="I67" s="56" t="str">
        <f t="shared" si="3"/>
        <v>Chưa bắt đầu</v>
      </c>
      <c r="J67" s="37"/>
    </row>
    <row r="68" spans="1:10" s="31" customFormat="1" x14ac:dyDescent="0.2">
      <c r="A68" s="32" t="str">
        <f>IF(ISBLANK(B68),"",MAX($A$6:A67)+1)</f>
        <v/>
      </c>
      <c r="B68" s="33"/>
      <c r="C68" s="34"/>
      <c r="D68" s="34"/>
      <c r="E68" s="49">
        <f>IFERROR(INDEX(Data!$E$3:$F$4,MATCH($C68,Data!$D$3:$D$4,0),MATCH($D68,Data!$E$2:$F$2,0)),5)</f>
        <v>5</v>
      </c>
      <c r="F68" s="35"/>
      <c r="G68" s="52">
        <f t="shared" ca="1" si="2"/>
        <v>-44494</v>
      </c>
      <c r="H68" s="36"/>
      <c r="I68" s="56" t="str">
        <f t="shared" si="3"/>
        <v>Chưa bắt đầu</v>
      </c>
      <c r="J68" s="37"/>
    </row>
    <row r="69" spans="1:10" s="31" customFormat="1" x14ac:dyDescent="0.2">
      <c r="A69" s="32" t="str">
        <f>IF(ISBLANK(B69),"",MAX($A$6:A68)+1)</f>
        <v/>
      </c>
      <c r="B69" s="33"/>
      <c r="C69" s="34"/>
      <c r="D69" s="34"/>
      <c r="E69" s="49">
        <f>IFERROR(INDEX(Data!$E$3:$F$4,MATCH($C69,Data!$D$3:$D$4,0),MATCH($D69,Data!$E$2:$F$2,0)),5)</f>
        <v>5</v>
      </c>
      <c r="F69" s="35"/>
      <c r="G69" s="52">
        <f t="shared" ca="1" si="2"/>
        <v>-44494</v>
      </c>
      <c r="H69" s="36"/>
      <c r="I69" s="56" t="str">
        <f t="shared" si="3"/>
        <v>Chưa bắt đầu</v>
      </c>
      <c r="J69" s="37"/>
    </row>
    <row r="70" spans="1:10" s="31" customFormat="1" x14ac:dyDescent="0.2">
      <c r="A70" s="32" t="str">
        <f>IF(ISBLANK(B70),"",MAX($A$6:A69)+1)</f>
        <v/>
      </c>
      <c r="B70" s="33"/>
      <c r="C70" s="34"/>
      <c r="D70" s="34"/>
      <c r="E70" s="49">
        <f>IFERROR(INDEX(Data!$E$3:$F$4,MATCH($C70,Data!$D$3:$D$4,0),MATCH($D70,Data!$E$2:$F$2,0)),5)</f>
        <v>5</v>
      </c>
      <c r="F70" s="35"/>
      <c r="G70" s="52">
        <f t="shared" ca="1" si="2"/>
        <v>-44494</v>
      </c>
      <c r="H70" s="36"/>
      <c r="I70" s="56" t="str">
        <f t="shared" si="3"/>
        <v>Chưa bắt đầu</v>
      </c>
      <c r="J70" s="37"/>
    </row>
    <row r="71" spans="1:10" s="31" customFormat="1" x14ac:dyDescent="0.2">
      <c r="A71" s="32" t="str">
        <f>IF(ISBLANK(B71),"",MAX($A$6:A70)+1)</f>
        <v/>
      </c>
      <c r="B71" s="33"/>
      <c r="C71" s="34"/>
      <c r="D71" s="34"/>
      <c r="E71" s="49">
        <f>IFERROR(INDEX(Data!$E$3:$F$4,MATCH($C71,Data!$D$3:$D$4,0),MATCH($D71,Data!$E$2:$F$2,0)),5)</f>
        <v>5</v>
      </c>
      <c r="F71" s="35"/>
      <c r="G71" s="52">
        <f t="shared" ref="G71:G102" ca="1" si="4">F71-TODAY()</f>
        <v>-44494</v>
      </c>
      <c r="H71" s="36"/>
      <c r="I71" s="56" t="str">
        <f t="shared" ref="I71:I102" si="5">IF(H71=0%,"Chưa bắt đầu",IF(H71=100%,"Đã hoàn thành",IF(G71&lt;0, "Quá hạn","Đang thực hiện")))</f>
        <v>Chưa bắt đầu</v>
      </c>
      <c r="J71" s="37"/>
    </row>
    <row r="72" spans="1:10" s="31" customFormat="1" x14ac:dyDescent="0.2">
      <c r="A72" s="32" t="str">
        <f>IF(ISBLANK(B72),"",MAX($A$6:A71)+1)</f>
        <v/>
      </c>
      <c r="B72" s="33"/>
      <c r="C72" s="34"/>
      <c r="D72" s="34"/>
      <c r="E72" s="49">
        <f>IFERROR(INDEX(Data!$E$3:$F$4,MATCH($C72,Data!$D$3:$D$4,0),MATCH($D72,Data!$E$2:$F$2,0)),5)</f>
        <v>5</v>
      </c>
      <c r="F72" s="35"/>
      <c r="G72" s="52">
        <f t="shared" ca="1" si="4"/>
        <v>-44494</v>
      </c>
      <c r="H72" s="36"/>
      <c r="I72" s="56" t="str">
        <f t="shared" si="5"/>
        <v>Chưa bắt đầu</v>
      </c>
      <c r="J72" s="37"/>
    </row>
    <row r="73" spans="1:10" s="31" customFormat="1" x14ac:dyDescent="0.2">
      <c r="A73" s="32" t="str">
        <f>IF(ISBLANK(B73),"",MAX($A$6:A72)+1)</f>
        <v/>
      </c>
      <c r="B73" s="33"/>
      <c r="C73" s="34"/>
      <c r="D73" s="34"/>
      <c r="E73" s="49">
        <f>IFERROR(INDEX(Data!$E$3:$F$4,MATCH($C73,Data!$D$3:$D$4,0),MATCH($D73,Data!$E$2:$F$2,0)),5)</f>
        <v>5</v>
      </c>
      <c r="F73" s="35"/>
      <c r="G73" s="52">
        <f t="shared" ca="1" si="4"/>
        <v>-44494</v>
      </c>
      <c r="H73" s="36"/>
      <c r="I73" s="56" t="str">
        <f t="shared" si="5"/>
        <v>Chưa bắt đầu</v>
      </c>
      <c r="J73" s="37"/>
    </row>
    <row r="74" spans="1:10" s="31" customFormat="1" x14ac:dyDescent="0.2">
      <c r="A74" s="32" t="str">
        <f>IF(ISBLANK(B74),"",MAX($A$6:A73)+1)</f>
        <v/>
      </c>
      <c r="B74" s="33"/>
      <c r="C74" s="34"/>
      <c r="D74" s="34"/>
      <c r="E74" s="49">
        <f>IFERROR(INDEX(Data!$E$3:$F$4,MATCH($C74,Data!$D$3:$D$4,0),MATCH($D74,Data!$E$2:$F$2,0)),5)</f>
        <v>5</v>
      </c>
      <c r="F74" s="35"/>
      <c r="G74" s="52">
        <f t="shared" ca="1" si="4"/>
        <v>-44494</v>
      </c>
      <c r="H74" s="36"/>
      <c r="I74" s="56" t="str">
        <f t="shared" si="5"/>
        <v>Chưa bắt đầu</v>
      </c>
      <c r="J74" s="37"/>
    </row>
    <row r="75" spans="1:10" s="31" customFormat="1" x14ac:dyDescent="0.2">
      <c r="A75" s="32" t="str">
        <f>IF(ISBLANK(B75),"",MAX($A$6:A74)+1)</f>
        <v/>
      </c>
      <c r="B75" s="33"/>
      <c r="C75" s="34"/>
      <c r="D75" s="34"/>
      <c r="E75" s="49">
        <f>IFERROR(INDEX(Data!$E$3:$F$4,MATCH($C75,Data!$D$3:$D$4,0),MATCH($D75,Data!$E$2:$F$2,0)),5)</f>
        <v>5</v>
      </c>
      <c r="F75" s="35"/>
      <c r="G75" s="52">
        <f t="shared" ca="1" si="4"/>
        <v>-44494</v>
      </c>
      <c r="H75" s="36"/>
      <c r="I75" s="56" t="str">
        <f t="shared" si="5"/>
        <v>Chưa bắt đầu</v>
      </c>
      <c r="J75" s="37"/>
    </row>
    <row r="76" spans="1:10" s="31" customFormat="1" x14ac:dyDescent="0.2">
      <c r="A76" s="32" t="str">
        <f>IF(ISBLANK(B76),"",MAX($A$6:A75)+1)</f>
        <v/>
      </c>
      <c r="B76" s="33"/>
      <c r="C76" s="34"/>
      <c r="D76" s="34"/>
      <c r="E76" s="49">
        <f>IFERROR(INDEX(Data!$E$3:$F$4,MATCH($C76,Data!$D$3:$D$4,0),MATCH($D76,Data!$E$2:$F$2,0)),5)</f>
        <v>5</v>
      </c>
      <c r="F76" s="35"/>
      <c r="G76" s="52">
        <f t="shared" ca="1" si="4"/>
        <v>-44494</v>
      </c>
      <c r="H76" s="36"/>
      <c r="I76" s="56" t="str">
        <f t="shared" si="5"/>
        <v>Chưa bắt đầu</v>
      </c>
      <c r="J76" s="37"/>
    </row>
    <row r="77" spans="1:10" s="31" customFormat="1" x14ac:dyDescent="0.2">
      <c r="A77" s="32" t="str">
        <f>IF(ISBLANK(B77),"",MAX($A$6:A76)+1)</f>
        <v/>
      </c>
      <c r="B77" s="33"/>
      <c r="C77" s="34"/>
      <c r="D77" s="34"/>
      <c r="E77" s="49">
        <f>IFERROR(INDEX(Data!$E$3:$F$4,MATCH($C77,Data!$D$3:$D$4,0),MATCH($D77,Data!$E$2:$F$2,0)),5)</f>
        <v>5</v>
      </c>
      <c r="F77" s="35"/>
      <c r="G77" s="52">
        <f t="shared" ca="1" si="4"/>
        <v>-44494</v>
      </c>
      <c r="H77" s="36"/>
      <c r="I77" s="56" t="str">
        <f t="shared" si="5"/>
        <v>Chưa bắt đầu</v>
      </c>
      <c r="J77" s="37"/>
    </row>
    <row r="78" spans="1:10" s="31" customFormat="1" x14ac:dyDescent="0.2">
      <c r="A78" s="32" t="str">
        <f>IF(ISBLANK(B78),"",MAX($A$6:A77)+1)</f>
        <v/>
      </c>
      <c r="B78" s="33"/>
      <c r="C78" s="34"/>
      <c r="D78" s="34"/>
      <c r="E78" s="49">
        <f>IFERROR(INDEX(Data!$E$3:$F$4,MATCH($C78,Data!$D$3:$D$4,0),MATCH($D78,Data!$E$2:$F$2,0)),5)</f>
        <v>5</v>
      </c>
      <c r="F78" s="35"/>
      <c r="G78" s="52">
        <f t="shared" ca="1" si="4"/>
        <v>-44494</v>
      </c>
      <c r="H78" s="36"/>
      <c r="I78" s="56" t="str">
        <f t="shared" si="5"/>
        <v>Chưa bắt đầu</v>
      </c>
      <c r="J78" s="37"/>
    </row>
    <row r="79" spans="1:10" s="31" customFormat="1" x14ac:dyDescent="0.2">
      <c r="A79" s="32" t="str">
        <f>IF(ISBLANK(B79),"",MAX($A$6:A78)+1)</f>
        <v/>
      </c>
      <c r="B79" s="33"/>
      <c r="C79" s="34"/>
      <c r="D79" s="34"/>
      <c r="E79" s="49">
        <f>IFERROR(INDEX(Data!$E$3:$F$4,MATCH($C79,Data!$D$3:$D$4,0),MATCH($D79,Data!$E$2:$F$2,0)),5)</f>
        <v>5</v>
      </c>
      <c r="F79" s="35"/>
      <c r="G79" s="52">
        <f t="shared" ca="1" si="4"/>
        <v>-44494</v>
      </c>
      <c r="H79" s="36"/>
      <c r="I79" s="56" t="str">
        <f t="shared" si="5"/>
        <v>Chưa bắt đầu</v>
      </c>
      <c r="J79" s="37"/>
    </row>
    <row r="80" spans="1:10" s="31" customFormat="1" x14ac:dyDescent="0.2">
      <c r="A80" s="32" t="str">
        <f>IF(ISBLANK(B80),"",MAX($A$6:A79)+1)</f>
        <v/>
      </c>
      <c r="B80" s="33"/>
      <c r="C80" s="34"/>
      <c r="D80" s="34"/>
      <c r="E80" s="49">
        <f>IFERROR(INDEX(Data!$E$3:$F$4,MATCH($C80,Data!$D$3:$D$4,0),MATCH($D80,Data!$E$2:$F$2,0)),5)</f>
        <v>5</v>
      </c>
      <c r="F80" s="35"/>
      <c r="G80" s="52">
        <f t="shared" ca="1" si="4"/>
        <v>-44494</v>
      </c>
      <c r="H80" s="36"/>
      <c r="I80" s="56" t="str">
        <f t="shared" si="5"/>
        <v>Chưa bắt đầu</v>
      </c>
      <c r="J80" s="37"/>
    </row>
    <row r="81" spans="1:10" s="31" customFormat="1" x14ac:dyDescent="0.2">
      <c r="A81" s="32" t="str">
        <f>IF(ISBLANK(B81),"",MAX($A$6:A80)+1)</f>
        <v/>
      </c>
      <c r="B81" s="33"/>
      <c r="C81" s="34"/>
      <c r="D81" s="34"/>
      <c r="E81" s="49">
        <f>IFERROR(INDEX(Data!$E$3:$F$4,MATCH($C81,Data!$D$3:$D$4,0),MATCH($D81,Data!$E$2:$F$2,0)),5)</f>
        <v>5</v>
      </c>
      <c r="F81" s="35"/>
      <c r="G81" s="52">
        <f t="shared" ca="1" si="4"/>
        <v>-44494</v>
      </c>
      <c r="H81" s="36"/>
      <c r="I81" s="56" t="str">
        <f t="shared" si="5"/>
        <v>Chưa bắt đầu</v>
      </c>
      <c r="J81" s="37"/>
    </row>
    <row r="82" spans="1:10" s="31" customFormat="1" x14ac:dyDescent="0.2">
      <c r="A82" s="32" t="str">
        <f>IF(ISBLANK(B82),"",MAX($A$6:A81)+1)</f>
        <v/>
      </c>
      <c r="B82" s="33"/>
      <c r="C82" s="34"/>
      <c r="D82" s="34"/>
      <c r="E82" s="49">
        <f>IFERROR(INDEX(Data!$E$3:$F$4,MATCH($C82,Data!$D$3:$D$4,0),MATCH($D82,Data!$E$2:$F$2,0)),5)</f>
        <v>5</v>
      </c>
      <c r="F82" s="35"/>
      <c r="G82" s="52">
        <f t="shared" ca="1" si="4"/>
        <v>-44494</v>
      </c>
      <c r="H82" s="36"/>
      <c r="I82" s="56" t="str">
        <f t="shared" si="5"/>
        <v>Chưa bắt đầu</v>
      </c>
      <c r="J82" s="37"/>
    </row>
    <row r="83" spans="1:10" s="31" customFormat="1" x14ac:dyDescent="0.2">
      <c r="A83" s="32" t="str">
        <f>IF(ISBLANK(B83),"",MAX($A$6:A82)+1)</f>
        <v/>
      </c>
      <c r="B83" s="33"/>
      <c r="C83" s="34"/>
      <c r="D83" s="34"/>
      <c r="E83" s="49">
        <f>IFERROR(INDEX(Data!$E$3:$F$4,MATCH($C83,Data!$D$3:$D$4,0),MATCH($D83,Data!$E$2:$F$2,0)),5)</f>
        <v>5</v>
      </c>
      <c r="F83" s="35"/>
      <c r="G83" s="52">
        <f t="shared" ca="1" si="4"/>
        <v>-44494</v>
      </c>
      <c r="H83" s="36"/>
      <c r="I83" s="56" t="str">
        <f t="shared" si="5"/>
        <v>Chưa bắt đầu</v>
      </c>
      <c r="J83" s="37"/>
    </row>
    <row r="84" spans="1:10" s="31" customFormat="1" x14ac:dyDescent="0.2">
      <c r="A84" s="32" t="str">
        <f>IF(ISBLANK(B84),"",MAX($A$6:A83)+1)</f>
        <v/>
      </c>
      <c r="B84" s="33"/>
      <c r="C84" s="34"/>
      <c r="D84" s="34"/>
      <c r="E84" s="49">
        <f>IFERROR(INDEX(Data!$E$3:$F$4,MATCH($C84,Data!$D$3:$D$4,0),MATCH($D84,Data!$E$2:$F$2,0)),5)</f>
        <v>5</v>
      </c>
      <c r="F84" s="35"/>
      <c r="G84" s="52">
        <f t="shared" ca="1" si="4"/>
        <v>-44494</v>
      </c>
      <c r="H84" s="36"/>
      <c r="I84" s="56" t="str">
        <f t="shared" si="5"/>
        <v>Chưa bắt đầu</v>
      </c>
      <c r="J84" s="37"/>
    </row>
    <row r="85" spans="1:10" s="31" customFormat="1" x14ac:dyDescent="0.2">
      <c r="A85" s="32" t="str">
        <f>IF(ISBLANK(B85),"",MAX($A$6:A84)+1)</f>
        <v/>
      </c>
      <c r="B85" s="33"/>
      <c r="C85" s="34"/>
      <c r="D85" s="34"/>
      <c r="E85" s="49">
        <f>IFERROR(INDEX(Data!$E$3:$F$4,MATCH($C85,Data!$D$3:$D$4,0),MATCH($D85,Data!$E$2:$F$2,0)),5)</f>
        <v>5</v>
      </c>
      <c r="F85" s="35"/>
      <c r="G85" s="52">
        <f t="shared" ca="1" si="4"/>
        <v>-44494</v>
      </c>
      <c r="H85" s="36"/>
      <c r="I85" s="56" t="str">
        <f t="shared" si="5"/>
        <v>Chưa bắt đầu</v>
      </c>
      <c r="J85" s="37"/>
    </row>
    <row r="86" spans="1:10" s="31" customFormat="1" x14ac:dyDescent="0.2">
      <c r="A86" s="32" t="str">
        <f>IF(ISBLANK(B86),"",MAX($A$6:A85)+1)</f>
        <v/>
      </c>
      <c r="B86" s="33"/>
      <c r="C86" s="34"/>
      <c r="D86" s="34"/>
      <c r="E86" s="49">
        <f>IFERROR(INDEX(Data!$E$3:$F$4,MATCH($C86,Data!$D$3:$D$4,0),MATCH($D86,Data!$E$2:$F$2,0)),5)</f>
        <v>5</v>
      </c>
      <c r="F86" s="35"/>
      <c r="G86" s="52">
        <f t="shared" ca="1" si="4"/>
        <v>-44494</v>
      </c>
      <c r="H86" s="36"/>
      <c r="I86" s="56" t="str">
        <f t="shared" si="5"/>
        <v>Chưa bắt đầu</v>
      </c>
      <c r="J86" s="37"/>
    </row>
    <row r="87" spans="1:10" s="31" customFormat="1" x14ac:dyDescent="0.2">
      <c r="A87" s="32" t="str">
        <f>IF(ISBLANK(B87),"",MAX($A$6:A86)+1)</f>
        <v/>
      </c>
      <c r="B87" s="33"/>
      <c r="C87" s="34"/>
      <c r="D87" s="34"/>
      <c r="E87" s="49">
        <f>IFERROR(INDEX(Data!$E$3:$F$4,MATCH($C87,Data!$D$3:$D$4,0),MATCH($D87,Data!$E$2:$F$2,0)),5)</f>
        <v>5</v>
      </c>
      <c r="F87" s="35"/>
      <c r="G87" s="52">
        <f t="shared" ca="1" si="4"/>
        <v>-44494</v>
      </c>
      <c r="H87" s="36"/>
      <c r="I87" s="56" t="str">
        <f t="shared" si="5"/>
        <v>Chưa bắt đầu</v>
      </c>
      <c r="J87" s="37"/>
    </row>
    <row r="88" spans="1:10" s="31" customFormat="1" x14ac:dyDescent="0.2">
      <c r="A88" s="32" t="str">
        <f>IF(ISBLANK(B88),"",MAX($A$6:A87)+1)</f>
        <v/>
      </c>
      <c r="B88" s="33"/>
      <c r="C88" s="34"/>
      <c r="D88" s="34"/>
      <c r="E88" s="49">
        <f>IFERROR(INDEX(Data!$E$3:$F$4,MATCH($C88,Data!$D$3:$D$4,0),MATCH($D88,Data!$E$2:$F$2,0)),5)</f>
        <v>5</v>
      </c>
      <c r="F88" s="35"/>
      <c r="G88" s="52">
        <f t="shared" ca="1" si="4"/>
        <v>-44494</v>
      </c>
      <c r="H88" s="36"/>
      <c r="I88" s="56" t="str">
        <f t="shared" si="5"/>
        <v>Chưa bắt đầu</v>
      </c>
      <c r="J88" s="37"/>
    </row>
    <row r="89" spans="1:10" s="31" customFormat="1" x14ac:dyDescent="0.2">
      <c r="A89" s="32" t="str">
        <f>IF(ISBLANK(B89),"",MAX($A$6:A88)+1)</f>
        <v/>
      </c>
      <c r="B89" s="33"/>
      <c r="C89" s="34"/>
      <c r="D89" s="34"/>
      <c r="E89" s="49">
        <f>IFERROR(INDEX(Data!$E$3:$F$4,MATCH($C89,Data!$D$3:$D$4,0),MATCH($D89,Data!$E$2:$F$2,0)),5)</f>
        <v>5</v>
      </c>
      <c r="F89" s="35"/>
      <c r="G89" s="52">
        <f t="shared" ca="1" si="4"/>
        <v>-44494</v>
      </c>
      <c r="H89" s="36"/>
      <c r="I89" s="56" t="str">
        <f t="shared" si="5"/>
        <v>Chưa bắt đầu</v>
      </c>
      <c r="J89" s="37"/>
    </row>
    <row r="90" spans="1:10" s="31" customFormat="1" x14ac:dyDescent="0.2">
      <c r="A90" s="32" t="str">
        <f>IF(ISBLANK(B90),"",MAX($A$6:A89)+1)</f>
        <v/>
      </c>
      <c r="B90" s="33"/>
      <c r="C90" s="34"/>
      <c r="D90" s="34"/>
      <c r="E90" s="49">
        <f>IFERROR(INDEX(Data!$E$3:$F$4,MATCH($C90,Data!$D$3:$D$4,0),MATCH($D90,Data!$E$2:$F$2,0)),5)</f>
        <v>5</v>
      </c>
      <c r="F90" s="35"/>
      <c r="G90" s="52">
        <f t="shared" ca="1" si="4"/>
        <v>-44494</v>
      </c>
      <c r="H90" s="36"/>
      <c r="I90" s="56" t="str">
        <f t="shared" si="5"/>
        <v>Chưa bắt đầu</v>
      </c>
      <c r="J90" s="37"/>
    </row>
    <row r="91" spans="1:10" s="31" customFormat="1" x14ac:dyDescent="0.2">
      <c r="A91" s="32" t="str">
        <f>IF(ISBLANK(B91),"",MAX($A$6:A90)+1)</f>
        <v/>
      </c>
      <c r="B91" s="33"/>
      <c r="C91" s="34"/>
      <c r="D91" s="34"/>
      <c r="E91" s="49">
        <f>IFERROR(INDEX(Data!$E$3:$F$4,MATCH($C91,Data!$D$3:$D$4,0),MATCH($D91,Data!$E$2:$F$2,0)),5)</f>
        <v>5</v>
      </c>
      <c r="F91" s="35"/>
      <c r="G91" s="52">
        <f t="shared" ca="1" si="4"/>
        <v>-44494</v>
      </c>
      <c r="H91" s="36"/>
      <c r="I91" s="56" t="str">
        <f t="shared" si="5"/>
        <v>Chưa bắt đầu</v>
      </c>
      <c r="J91" s="37"/>
    </row>
    <row r="92" spans="1:10" s="31" customFormat="1" x14ac:dyDescent="0.2">
      <c r="A92" s="32" t="str">
        <f>IF(ISBLANK(B92),"",MAX($A$6:A91)+1)</f>
        <v/>
      </c>
      <c r="B92" s="33"/>
      <c r="C92" s="34"/>
      <c r="D92" s="34"/>
      <c r="E92" s="49">
        <f>IFERROR(INDEX(Data!$E$3:$F$4,MATCH($C92,Data!$D$3:$D$4,0),MATCH($D92,Data!$E$2:$F$2,0)),5)</f>
        <v>5</v>
      </c>
      <c r="F92" s="35"/>
      <c r="G92" s="52">
        <f t="shared" ca="1" si="4"/>
        <v>-44494</v>
      </c>
      <c r="H92" s="36"/>
      <c r="I92" s="56" t="str">
        <f t="shared" si="5"/>
        <v>Chưa bắt đầu</v>
      </c>
      <c r="J92" s="37"/>
    </row>
    <row r="93" spans="1:10" s="31" customFormat="1" x14ac:dyDescent="0.2">
      <c r="A93" s="32" t="str">
        <f>IF(ISBLANK(B93),"",MAX($A$6:A92)+1)</f>
        <v/>
      </c>
      <c r="B93" s="33"/>
      <c r="C93" s="34"/>
      <c r="D93" s="34"/>
      <c r="E93" s="49">
        <f>IFERROR(INDEX(Data!$E$3:$F$4,MATCH($C93,Data!$D$3:$D$4,0),MATCH($D93,Data!$E$2:$F$2,0)),5)</f>
        <v>5</v>
      </c>
      <c r="F93" s="35"/>
      <c r="G93" s="52">
        <f t="shared" ca="1" si="4"/>
        <v>-44494</v>
      </c>
      <c r="H93" s="36"/>
      <c r="I93" s="56" t="str">
        <f t="shared" si="5"/>
        <v>Chưa bắt đầu</v>
      </c>
      <c r="J93" s="37"/>
    </row>
    <row r="94" spans="1:10" s="31" customFormat="1" x14ac:dyDescent="0.2">
      <c r="A94" s="32" t="str">
        <f>IF(ISBLANK(B94),"",MAX($A$6:A93)+1)</f>
        <v/>
      </c>
      <c r="B94" s="33"/>
      <c r="C94" s="34"/>
      <c r="D94" s="34"/>
      <c r="E94" s="49">
        <f>IFERROR(INDEX(Data!$E$3:$F$4,MATCH($C94,Data!$D$3:$D$4,0),MATCH($D94,Data!$E$2:$F$2,0)),5)</f>
        <v>5</v>
      </c>
      <c r="F94" s="35"/>
      <c r="G94" s="52">
        <f t="shared" ca="1" si="4"/>
        <v>-44494</v>
      </c>
      <c r="H94" s="36"/>
      <c r="I94" s="56" t="str">
        <f t="shared" si="5"/>
        <v>Chưa bắt đầu</v>
      </c>
      <c r="J94" s="37"/>
    </row>
    <row r="95" spans="1:10" s="31" customFormat="1" x14ac:dyDescent="0.2">
      <c r="A95" s="32" t="str">
        <f>IF(ISBLANK(B95),"",MAX($A$6:A94)+1)</f>
        <v/>
      </c>
      <c r="B95" s="33"/>
      <c r="C95" s="34"/>
      <c r="D95" s="34"/>
      <c r="E95" s="49">
        <f>IFERROR(INDEX(Data!$E$3:$F$4,MATCH($C95,Data!$D$3:$D$4,0),MATCH($D95,Data!$E$2:$F$2,0)),5)</f>
        <v>5</v>
      </c>
      <c r="F95" s="35"/>
      <c r="G95" s="52">
        <f t="shared" ca="1" si="4"/>
        <v>-44494</v>
      </c>
      <c r="H95" s="36"/>
      <c r="I95" s="56" t="str">
        <f t="shared" si="5"/>
        <v>Chưa bắt đầu</v>
      </c>
      <c r="J95" s="37"/>
    </row>
    <row r="96" spans="1:10" s="31" customFormat="1" x14ac:dyDescent="0.2">
      <c r="A96" s="32" t="str">
        <f>IF(ISBLANK(B96),"",MAX($A$6:A95)+1)</f>
        <v/>
      </c>
      <c r="B96" s="33"/>
      <c r="C96" s="34"/>
      <c r="D96" s="34"/>
      <c r="E96" s="49">
        <f>IFERROR(INDEX(Data!$E$3:$F$4,MATCH($C96,Data!$D$3:$D$4,0),MATCH($D96,Data!$E$2:$F$2,0)),5)</f>
        <v>5</v>
      </c>
      <c r="F96" s="35"/>
      <c r="G96" s="52">
        <f t="shared" ca="1" si="4"/>
        <v>-44494</v>
      </c>
      <c r="H96" s="36"/>
      <c r="I96" s="56" t="str">
        <f t="shared" si="5"/>
        <v>Chưa bắt đầu</v>
      </c>
      <c r="J96" s="37"/>
    </row>
    <row r="97" spans="1:10" s="31" customFormat="1" x14ac:dyDescent="0.2">
      <c r="A97" s="32" t="str">
        <f>IF(ISBLANK(B97),"",MAX($A$6:A96)+1)</f>
        <v/>
      </c>
      <c r="B97" s="33"/>
      <c r="C97" s="34"/>
      <c r="D97" s="34"/>
      <c r="E97" s="49">
        <f>IFERROR(INDEX(Data!$E$3:$F$4,MATCH($C97,Data!$D$3:$D$4,0),MATCH($D97,Data!$E$2:$F$2,0)),5)</f>
        <v>5</v>
      </c>
      <c r="F97" s="35"/>
      <c r="G97" s="52">
        <f t="shared" ca="1" si="4"/>
        <v>-44494</v>
      </c>
      <c r="H97" s="36"/>
      <c r="I97" s="56" t="str">
        <f t="shared" si="5"/>
        <v>Chưa bắt đầu</v>
      </c>
      <c r="J97" s="37"/>
    </row>
    <row r="98" spans="1:10" s="31" customFormat="1" x14ac:dyDescent="0.2">
      <c r="A98" s="32" t="str">
        <f>IF(ISBLANK(B98),"",MAX($A$6:A97)+1)</f>
        <v/>
      </c>
      <c r="B98" s="33"/>
      <c r="C98" s="34"/>
      <c r="D98" s="34"/>
      <c r="E98" s="49">
        <f>IFERROR(INDEX(Data!$E$3:$F$4,MATCH($C98,Data!$D$3:$D$4,0),MATCH($D98,Data!$E$2:$F$2,0)),5)</f>
        <v>5</v>
      </c>
      <c r="F98" s="35"/>
      <c r="G98" s="52">
        <f t="shared" ca="1" si="4"/>
        <v>-44494</v>
      </c>
      <c r="H98" s="36"/>
      <c r="I98" s="56" t="str">
        <f t="shared" si="5"/>
        <v>Chưa bắt đầu</v>
      </c>
      <c r="J98" s="37"/>
    </row>
    <row r="99" spans="1:10" s="31" customFormat="1" x14ac:dyDescent="0.2">
      <c r="A99" s="32" t="str">
        <f>IF(ISBLANK(B99),"",MAX($A$6:A98)+1)</f>
        <v/>
      </c>
      <c r="B99" s="33"/>
      <c r="C99" s="34"/>
      <c r="D99" s="34"/>
      <c r="E99" s="49">
        <f>IFERROR(INDEX(Data!$E$3:$F$4,MATCH($C99,Data!$D$3:$D$4,0),MATCH($D99,Data!$E$2:$F$2,0)),5)</f>
        <v>5</v>
      </c>
      <c r="F99" s="35"/>
      <c r="G99" s="52">
        <f t="shared" ca="1" si="4"/>
        <v>-44494</v>
      </c>
      <c r="H99" s="36"/>
      <c r="I99" s="56" t="str">
        <f t="shared" si="5"/>
        <v>Chưa bắt đầu</v>
      </c>
      <c r="J99" s="37"/>
    </row>
    <row r="100" spans="1:10" s="31" customFormat="1" x14ac:dyDescent="0.2">
      <c r="A100" s="32" t="str">
        <f>IF(ISBLANK(B100),"",MAX($A$6:A99)+1)</f>
        <v/>
      </c>
      <c r="B100" s="33"/>
      <c r="C100" s="34"/>
      <c r="D100" s="34"/>
      <c r="E100" s="49">
        <f>IFERROR(INDEX(Data!$E$3:$F$4,MATCH($C100,Data!$D$3:$D$4,0),MATCH($D100,Data!$E$2:$F$2,0)),5)</f>
        <v>5</v>
      </c>
      <c r="F100" s="35"/>
      <c r="G100" s="52">
        <f t="shared" ca="1" si="4"/>
        <v>-44494</v>
      </c>
      <c r="H100" s="36"/>
      <c r="I100" s="56" t="str">
        <f t="shared" si="5"/>
        <v>Chưa bắt đầu</v>
      </c>
      <c r="J100" s="37"/>
    </row>
    <row r="101" spans="1:10" s="31" customFormat="1" x14ac:dyDescent="0.2">
      <c r="A101" s="32" t="str">
        <f>IF(ISBLANK(B101),"",MAX($A$6:A100)+1)</f>
        <v/>
      </c>
      <c r="B101" s="33"/>
      <c r="C101" s="34"/>
      <c r="D101" s="34"/>
      <c r="E101" s="49">
        <f>IFERROR(INDEX(Data!$E$3:$F$4,MATCH($C101,Data!$D$3:$D$4,0),MATCH($D101,Data!$E$2:$F$2,0)),5)</f>
        <v>5</v>
      </c>
      <c r="F101" s="35"/>
      <c r="G101" s="52">
        <f t="shared" ca="1" si="4"/>
        <v>-44494</v>
      </c>
      <c r="H101" s="36"/>
      <c r="I101" s="56" t="str">
        <f t="shared" si="5"/>
        <v>Chưa bắt đầu</v>
      </c>
      <c r="J101" s="37"/>
    </row>
    <row r="102" spans="1:10" s="31" customFormat="1" x14ac:dyDescent="0.2">
      <c r="A102" s="32" t="str">
        <f>IF(ISBLANK(B102),"",MAX($A$6:A101)+1)</f>
        <v/>
      </c>
      <c r="B102" s="33"/>
      <c r="C102" s="34"/>
      <c r="D102" s="34"/>
      <c r="E102" s="49">
        <f>IFERROR(INDEX(Data!$E$3:$F$4,MATCH($C102,Data!$D$3:$D$4,0),MATCH($D102,Data!$E$2:$F$2,0)),5)</f>
        <v>5</v>
      </c>
      <c r="F102" s="35"/>
      <c r="G102" s="52">
        <f t="shared" ca="1" si="4"/>
        <v>-44494</v>
      </c>
      <c r="H102" s="36"/>
      <c r="I102" s="56" t="str">
        <f t="shared" si="5"/>
        <v>Chưa bắt đầu</v>
      </c>
      <c r="J102" s="37"/>
    </row>
    <row r="103" spans="1:10" s="31" customFormat="1" x14ac:dyDescent="0.2">
      <c r="A103" s="32" t="str">
        <f>IF(ISBLANK(B103),"",MAX($A$6:A102)+1)</f>
        <v/>
      </c>
      <c r="B103" s="33"/>
      <c r="C103" s="34"/>
      <c r="D103" s="34"/>
      <c r="E103" s="49">
        <f>IFERROR(INDEX(Data!$E$3:$F$4,MATCH($C103,Data!$D$3:$D$4,0),MATCH($D103,Data!$E$2:$F$2,0)),5)</f>
        <v>5</v>
      </c>
      <c r="F103" s="35"/>
      <c r="G103" s="52">
        <f t="shared" ref="G103:G134" ca="1" si="6">F103-TODAY()</f>
        <v>-44494</v>
      </c>
      <c r="H103" s="36"/>
      <c r="I103" s="56" t="str">
        <f t="shared" ref="I103:I134" si="7">IF(H103=0%,"Chưa bắt đầu",IF(H103=100%,"Đã hoàn thành",IF(G103&lt;0, "Quá hạn","Đang thực hiện")))</f>
        <v>Chưa bắt đầu</v>
      </c>
      <c r="J103" s="37"/>
    </row>
    <row r="104" spans="1:10" s="31" customFormat="1" x14ac:dyDescent="0.2">
      <c r="A104" s="32" t="str">
        <f>IF(ISBLANK(B104),"",MAX($A$6:A103)+1)</f>
        <v/>
      </c>
      <c r="B104" s="33"/>
      <c r="C104" s="34"/>
      <c r="D104" s="34"/>
      <c r="E104" s="49">
        <f>IFERROR(INDEX(Data!$E$3:$F$4,MATCH($C104,Data!$D$3:$D$4,0),MATCH($D104,Data!$E$2:$F$2,0)),5)</f>
        <v>5</v>
      </c>
      <c r="F104" s="35"/>
      <c r="G104" s="52">
        <f t="shared" ca="1" si="6"/>
        <v>-44494</v>
      </c>
      <c r="H104" s="36"/>
      <c r="I104" s="56" t="str">
        <f t="shared" si="7"/>
        <v>Chưa bắt đầu</v>
      </c>
      <c r="J104" s="37"/>
    </row>
    <row r="105" spans="1:10" s="31" customFormat="1" x14ac:dyDescent="0.2">
      <c r="A105" s="32" t="str">
        <f>IF(ISBLANK(B105),"",MAX($A$6:A104)+1)</f>
        <v/>
      </c>
      <c r="B105" s="33"/>
      <c r="C105" s="34"/>
      <c r="D105" s="34"/>
      <c r="E105" s="49">
        <f>IFERROR(INDEX(Data!$E$3:$F$4,MATCH($C105,Data!$D$3:$D$4,0),MATCH($D105,Data!$E$2:$F$2,0)),5)</f>
        <v>5</v>
      </c>
      <c r="F105" s="35"/>
      <c r="G105" s="52">
        <f t="shared" ca="1" si="6"/>
        <v>-44494</v>
      </c>
      <c r="H105" s="36"/>
      <c r="I105" s="56" t="str">
        <f t="shared" si="7"/>
        <v>Chưa bắt đầu</v>
      </c>
      <c r="J105" s="37"/>
    </row>
    <row r="106" spans="1:10" s="31" customFormat="1" x14ac:dyDescent="0.2">
      <c r="A106" s="32" t="str">
        <f>IF(ISBLANK(B106),"",MAX($A$6:A105)+1)</f>
        <v/>
      </c>
      <c r="B106" s="33"/>
      <c r="C106" s="34"/>
      <c r="D106" s="34"/>
      <c r="E106" s="49">
        <f>IFERROR(INDEX(Data!$E$3:$F$4,MATCH($C106,Data!$D$3:$D$4,0),MATCH($D106,Data!$E$2:$F$2,0)),5)</f>
        <v>5</v>
      </c>
      <c r="F106" s="35"/>
      <c r="G106" s="52">
        <f t="shared" ca="1" si="6"/>
        <v>-44494</v>
      </c>
      <c r="H106" s="36"/>
      <c r="I106" s="56" t="str">
        <f t="shared" si="7"/>
        <v>Chưa bắt đầu</v>
      </c>
      <c r="J106" s="37"/>
    </row>
    <row r="107" spans="1:10" s="31" customFormat="1" x14ac:dyDescent="0.2">
      <c r="A107" s="32" t="str">
        <f>IF(ISBLANK(B107),"",MAX($A$6:A106)+1)</f>
        <v/>
      </c>
      <c r="B107" s="33"/>
      <c r="C107" s="34"/>
      <c r="D107" s="34"/>
      <c r="E107" s="49">
        <f>IFERROR(INDEX(Data!$E$3:$F$4,MATCH($C107,Data!$D$3:$D$4,0),MATCH($D107,Data!$E$2:$F$2,0)),5)</f>
        <v>5</v>
      </c>
      <c r="F107" s="35"/>
      <c r="G107" s="52">
        <f t="shared" ca="1" si="6"/>
        <v>-44494</v>
      </c>
      <c r="H107" s="36"/>
      <c r="I107" s="56" t="str">
        <f t="shared" si="7"/>
        <v>Chưa bắt đầu</v>
      </c>
      <c r="J107" s="37"/>
    </row>
    <row r="108" spans="1:10" s="31" customFormat="1" x14ac:dyDescent="0.2">
      <c r="A108" s="32" t="str">
        <f>IF(ISBLANK(B108),"",MAX($A$6:A107)+1)</f>
        <v/>
      </c>
      <c r="B108" s="33"/>
      <c r="C108" s="34"/>
      <c r="D108" s="34"/>
      <c r="E108" s="49">
        <f>IFERROR(INDEX(Data!$E$3:$F$4,MATCH($C108,Data!$D$3:$D$4,0),MATCH($D108,Data!$E$2:$F$2,0)),5)</f>
        <v>5</v>
      </c>
      <c r="F108" s="35"/>
      <c r="G108" s="52">
        <f t="shared" ca="1" si="6"/>
        <v>-44494</v>
      </c>
      <c r="H108" s="36"/>
      <c r="I108" s="56" t="str">
        <f t="shared" si="7"/>
        <v>Chưa bắt đầu</v>
      </c>
      <c r="J108" s="37"/>
    </row>
    <row r="109" spans="1:10" s="31" customFormat="1" x14ac:dyDescent="0.2">
      <c r="A109" s="32" t="str">
        <f>IF(ISBLANK(B109),"",MAX($A$6:A108)+1)</f>
        <v/>
      </c>
      <c r="B109" s="33"/>
      <c r="C109" s="34"/>
      <c r="D109" s="34"/>
      <c r="E109" s="49">
        <f>IFERROR(INDEX(Data!$E$3:$F$4,MATCH($C109,Data!$D$3:$D$4,0),MATCH($D109,Data!$E$2:$F$2,0)),5)</f>
        <v>5</v>
      </c>
      <c r="F109" s="35"/>
      <c r="G109" s="52">
        <f t="shared" ca="1" si="6"/>
        <v>-44494</v>
      </c>
      <c r="H109" s="36"/>
      <c r="I109" s="56" t="str">
        <f t="shared" si="7"/>
        <v>Chưa bắt đầu</v>
      </c>
      <c r="J109" s="37"/>
    </row>
    <row r="110" spans="1:10" s="31" customFormat="1" x14ac:dyDescent="0.2">
      <c r="A110" s="32" t="str">
        <f>IF(ISBLANK(B110),"",MAX($A$6:A109)+1)</f>
        <v/>
      </c>
      <c r="B110" s="33"/>
      <c r="C110" s="34"/>
      <c r="D110" s="34"/>
      <c r="E110" s="49">
        <f>IFERROR(INDEX(Data!$E$3:$F$4,MATCH($C110,Data!$D$3:$D$4,0),MATCH($D110,Data!$E$2:$F$2,0)),5)</f>
        <v>5</v>
      </c>
      <c r="F110" s="35"/>
      <c r="G110" s="52">
        <f t="shared" ca="1" si="6"/>
        <v>-44494</v>
      </c>
      <c r="H110" s="36"/>
      <c r="I110" s="56" t="str">
        <f t="shared" si="7"/>
        <v>Chưa bắt đầu</v>
      </c>
      <c r="J110" s="37"/>
    </row>
    <row r="111" spans="1:10" s="31" customFormat="1" x14ac:dyDescent="0.2">
      <c r="A111" s="32" t="str">
        <f>IF(ISBLANK(B111),"",MAX($A$6:A110)+1)</f>
        <v/>
      </c>
      <c r="B111" s="33"/>
      <c r="C111" s="34"/>
      <c r="D111" s="34"/>
      <c r="E111" s="49">
        <f>IFERROR(INDEX(Data!$E$3:$F$4,MATCH($C111,Data!$D$3:$D$4,0),MATCH($D111,Data!$E$2:$F$2,0)),5)</f>
        <v>5</v>
      </c>
      <c r="F111" s="35"/>
      <c r="G111" s="52">
        <f t="shared" ca="1" si="6"/>
        <v>-44494</v>
      </c>
      <c r="H111" s="36"/>
      <c r="I111" s="56" t="str">
        <f t="shared" si="7"/>
        <v>Chưa bắt đầu</v>
      </c>
      <c r="J111" s="37"/>
    </row>
    <row r="112" spans="1:10" s="31" customFormat="1" x14ac:dyDescent="0.2">
      <c r="A112" s="32" t="str">
        <f>IF(ISBLANK(B112),"",MAX($A$6:A111)+1)</f>
        <v/>
      </c>
      <c r="B112" s="33"/>
      <c r="C112" s="34"/>
      <c r="D112" s="34"/>
      <c r="E112" s="49">
        <f>IFERROR(INDEX(Data!$E$3:$F$4,MATCH($C112,Data!$D$3:$D$4,0),MATCH($D112,Data!$E$2:$F$2,0)),5)</f>
        <v>5</v>
      </c>
      <c r="F112" s="35"/>
      <c r="G112" s="52">
        <f t="shared" ca="1" si="6"/>
        <v>-44494</v>
      </c>
      <c r="H112" s="36"/>
      <c r="I112" s="56" t="str">
        <f t="shared" si="7"/>
        <v>Chưa bắt đầu</v>
      </c>
      <c r="J112" s="37"/>
    </row>
    <row r="113" spans="1:10" s="31" customFormat="1" x14ac:dyDescent="0.2">
      <c r="A113" s="32" t="str">
        <f>IF(ISBLANK(B113),"",MAX($A$6:A112)+1)</f>
        <v/>
      </c>
      <c r="B113" s="33"/>
      <c r="C113" s="34"/>
      <c r="D113" s="34"/>
      <c r="E113" s="49">
        <f>IFERROR(INDEX(Data!$E$3:$F$4,MATCH($C113,Data!$D$3:$D$4,0),MATCH($D113,Data!$E$2:$F$2,0)),5)</f>
        <v>5</v>
      </c>
      <c r="F113" s="35"/>
      <c r="G113" s="52">
        <f t="shared" ca="1" si="6"/>
        <v>-44494</v>
      </c>
      <c r="H113" s="36"/>
      <c r="I113" s="56" t="str">
        <f t="shared" si="7"/>
        <v>Chưa bắt đầu</v>
      </c>
      <c r="J113" s="37"/>
    </row>
    <row r="114" spans="1:10" s="31" customFormat="1" x14ac:dyDescent="0.2">
      <c r="A114" s="32" t="str">
        <f>IF(ISBLANK(B114),"",MAX($A$6:A113)+1)</f>
        <v/>
      </c>
      <c r="B114" s="33"/>
      <c r="C114" s="34"/>
      <c r="D114" s="34"/>
      <c r="E114" s="49">
        <f>IFERROR(INDEX(Data!$E$3:$F$4,MATCH($C114,Data!$D$3:$D$4,0),MATCH($D114,Data!$E$2:$F$2,0)),5)</f>
        <v>5</v>
      </c>
      <c r="F114" s="35"/>
      <c r="G114" s="52">
        <f t="shared" ca="1" si="6"/>
        <v>-44494</v>
      </c>
      <c r="H114" s="36"/>
      <c r="I114" s="56" t="str">
        <f t="shared" si="7"/>
        <v>Chưa bắt đầu</v>
      </c>
      <c r="J114" s="37"/>
    </row>
    <row r="115" spans="1:10" s="31" customFormat="1" x14ac:dyDescent="0.2">
      <c r="A115" s="32" t="str">
        <f>IF(ISBLANK(B115),"",MAX($A$6:A114)+1)</f>
        <v/>
      </c>
      <c r="B115" s="33"/>
      <c r="C115" s="34"/>
      <c r="D115" s="34"/>
      <c r="E115" s="49">
        <f>IFERROR(INDEX(Data!$E$3:$F$4,MATCH($C115,Data!$D$3:$D$4,0),MATCH($D115,Data!$E$2:$F$2,0)),5)</f>
        <v>5</v>
      </c>
      <c r="F115" s="35"/>
      <c r="G115" s="52">
        <f t="shared" ca="1" si="6"/>
        <v>-44494</v>
      </c>
      <c r="H115" s="36"/>
      <c r="I115" s="56" t="str">
        <f t="shared" si="7"/>
        <v>Chưa bắt đầu</v>
      </c>
      <c r="J115" s="37"/>
    </row>
    <row r="116" spans="1:10" s="31" customFormat="1" x14ac:dyDescent="0.2">
      <c r="A116" s="32" t="str">
        <f>IF(ISBLANK(B116),"",MAX($A$6:A115)+1)</f>
        <v/>
      </c>
      <c r="B116" s="33"/>
      <c r="C116" s="34"/>
      <c r="D116" s="34"/>
      <c r="E116" s="49">
        <f>IFERROR(INDEX(Data!$E$3:$F$4,MATCH($C116,Data!$D$3:$D$4,0),MATCH($D116,Data!$E$2:$F$2,0)),5)</f>
        <v>5</v>
      </c>
      <c r="F116" s="35"/>
      <c r="G116" s="52">
        <f t="shared" ca="1" si="6"/>
        <v>-44494</v>
      </c>
      <c r="H116" s="36"/>
      <c r="I116" s="56" t="str">
        <f t="shared" si="7"/>
        <v>Chưa bắt đầu</v>
      </c>
      <c r="J116" s="37"/>
    </row>
    <row r="117" spans="1:10" s="31" customFormat="1" x14ac:dyDescent="0.2">
      <c r="A117" s="32" t="str">
        <f>IF(ISBLANK(B117),"",MAX($A$6:A116)+1)</f>
        <v/>
      </c>
      <c r="B117" s="33"/>
      <c r="C117" s="34"/>
      <c r="D117" s="34"/>
      <c r="E117" s="49">
        <f>IFERROR(INDEX(Data!$E$3:$F$4,MATCH($C117,Data!$D$3:$D$4,0),MATCH($D117,Data!$E$2:$F$2,0)),5)</f>
        <v>5</v>
      </c>
      <c r="F117" s="35"/>
      <c r="G117" s="52">
        <f t="shared" ca="1" si="6"/>
        <v>-44494</v>
      </c>
      <c r="H117" s="36"/>
      <c r="I117" s="56" t="str">
        <f t="shared" si="7"/>
        <v>Chưa bắt đầu</v>
      </c>
      <c r="J117" s="37"/>
    </row>
    <row r="118" spans="1:10" s="31" customFormat="1" x14ac:dyDescent="0.2">
      <c r="A118" s="32" t="str">
        <f>IF(ISBLANK(B118),"",MAX($A$6:A117)+1)</f>
        <v/>
      </c>
      <c r="B118" s="33"/>
      <c r="C118" s="34"/>
      <c r="D118" s="34"/>
      <c r="E118" s="49">
        <f>IFERROR(INDEX(Data!$E$3:$F$4,MATCH($C118,Data!$D$3:$D$4,0),MATCH($D118,Data!$E$2:$F$2,0)),5)</f>
        <v>5</v>
      </c>
      <c r="F118" s="35"/>
      <c r="G118" s="52">
        <f t="shared" ca="1" si="6"/>
        <v>-44494</v>
      </c>
      <c r="H118" s="36"/>
      <c r="I118" s="56" t="str">
        <f t="shared" si="7"/>
        <v>Chưa bắt đầu</v>
      </c>
      <c r="J118" s="37"/>
    </row>
    <row r="119" spans="1:10" s="31" customFormat="1" x14ac:dyDescent="0.2">
      <c r="A119" s="32" t="str">
        <f>IF(ISBLANK(B119),"",MAX($A$6:A118)+1)</f>
        <v/>
      </c>
      <c r="B119" s="33"/>
      <c r="C119" s="34"/>
      <c r="D119" s="34"/>
      <c r="E119" s="49">
        <f>IFERROR(INDEX(Data!$E$3:$F$4,MATCH($C119,Data!$D$3:$D$4,0),MATCH($D119,Data!$E$2:$F$2,0)),5)</f>
        <v>5</v>
      </c>
      <c r="F119" s="35"/>
      <c r="G119" s="52">
        <f t="shared" ca="1" si="6"/>
        <v>-44494</v>
      </c>
      <c r="H119" s="36"/>
      <c r="I119" s="56" t="str">
        <f t="shared" si="7"/>
        <v>Chưa bắt đầu</v>
      </c>
      <c r="J119" s="37"/>
    </row>
    <row r="120" spans="1:10" s="31" customFormat="1" x14ac:dyDescent="0.2">
      <c r="A120" s="32" t="str">
        <f>IF(ISBLANK(B120),"",MAX($A$6:A119)+1)</f>
        <v/>
      </c>
      <c r="B120" s="33"/>
      <c r="C120" s="34"/>
      <c r="D120" s="34"/>
      <c r="E120" s="49">
        <f>IFERROR(INDEX(Data!$E$3:$F$4,MATCH($C120,Data!$D$3:$D$4,0),MATCH($D120,Data!$E$2:$F$2,0)),5)</f>
        <v>5</v>
      </c>
      <c r="F120" s="35"/>
      <c r="G120" s="52">
        <f t="shared" ca="1" si="6"/>
        <v>-44494</v>
      </c>
      <c r="H120" s="36"/>
      <c r="I120" s="56" t="str">
        <f t="shared" si="7"/>
        <v>Chưa bắt đầu</v>
      </c>
      <c r="J120" s="37"/>
    </row>
    <row r="121" spans="1:10" s="31" customFormat="1" x14ac:dyDescent="0.2">
      <c r="A121" s="32" t="str">
        <f>IF(ISBLANK(B121),"",MAX($A$6:A120)+1)</f>
        <v/>
      </c>
      <c r="B121" s="33"/>
      <c r="C121" s="34"/>
      <c r="D121" s="34"/>
      <c r="E121" s="49">
        <f>IFERROR(INDEX(Data!$E$3:$F$4,MATCH($C121,Data!$D$3:$D$4,0),MATCH($D121,Data!$E$2:$F$2,0)),5)</f>
        <v>5</v>
      </c>
      <c r="F121" s="35"/>
      <c r="G121" s="52">
        <f t="shared" ca="1" si="6"/>
        <v>-44494</v>
      </c>
      <c r="H121" s="36"/>
      <c r="I121" s="56" t="str">
        <f t="shared" si="7"/>
        <v>Chưa bắt đầu</v>
      </c>
      <c r="J121" s="37"/>
    </row>
    <row r="122" spans="1:10" s="31" customFormat="1" x14ac:dyDescent="0.2">
      <c r="A122" s="32" t="str">
        <f>IF(ISBLANK(B122),"",MAX($A$6:A121)+1)</f>
        <v/>
      </c>
      <c r="B122" s="33"/>
      <c r="C122" s="34"/>
      <c r="D122" s="34"/>
      <c r="E122" s="49">
        <f>IFERROR(INDEX(Data!$E$3:$F$4,MATCH($C122,Data!$D$3:$D$4,0),MATCH($D122,Data!$E$2:$F$2,0)),5)</f>
        <v>5</v>
      </c>
      <c r="F122" s="35"/>
      <c r="G122" s="52">
        <f t="shared" ca="1" si="6"/>
        <v>-44494</v>
      </c>
      <c r="H122" s="36"/>
      <c r="I122" s="56" t="str">
        <f t="shared" si="7"/>
        <v>Chưa bắt đầu</v>
      </c>
      <c r="J122" s="37"/>
    </row>
    <row r="123" spans="1:10" s="31" customFormat="1" x14ac:dyDescent="0.2">
      <c r="A123" s="32" t="str">
        <f>IF(ISBLANK(B123),"",MAX($A$6:A122)+1)</f>
        <v/>
      </c>
      <c r="B123" s="33"/>
      <c r="C123" s="34"/>
      <c r="D123" s="34"/>
      <c r="E123" s="49">
        <f>IFERROR(INDEX(Data!$E$3:$F$4,MATCH($C123,Data!$D$3:$D$4,0),MATCH($D123,Data!$E$2:$F$2,0)),5)</f>
        <v>5</v>
      </c>
      <c r="F123" s="35"/>
      <c r="G123" s="52">
        <f t="shared" ca="1" si="6"/>
        <v>-44494</v>
      </c>
      <c r="H123" s="36"/>
      <c r="I123" s="56" t="str">
        <f t="shared" si="7"/>
        <v>Chưa bắt đầu</v>
      </c>
      <c r="J123" s="37"/>
    </row>
    <row r="124" spans="1:10" s="31" customFormat="1" x14ac:dyDescent="0.2">
      <c r="A124" s="32" t="str">
        <f>IF(ISBLANK(B124),"",MAX($A$6:A123)+1)</f>
        <v/>
      </c>
      <c r="B124" s="33"/>
      <c r="C124" s="34"/>
      <c r="D124" s="34"/>
      <c r="E124" s="49">
        <f>IFERROR(INDEX(Data!$E$3:$F$4,MATCH($C124,Data!$D$3:$D$4,0),MATCH($D124,Data!$E$2:$F$2,0)),5)</f>
        <v>5</v>
      </c>
      <c r="F124" s="35"/>
      <c r="G124" s="52">
        <f t="shared" ca="1" si="6"/>
        <v>-44494</v>
      </c>
      <c r="H124" s="36"/>
      <c r="I124" s="56" t="str">
        <f t="shared" si="7"/>
        <v>Chưa bắt đầu</v>
      </c>
      <c r="J124" s="37"/>
    </row>
    <row r="125" spans="1:10" s="31" customFormat="1" x14ac:dyDescent="0.2">
      <c r="A125" s="32" t="str">
        <f>IF(ISBLANK(B125),"",MAX($A$6:A124)+1)</f>
        <v/>
      </c>
      <c r="B125" s="33"/>
      <c r="C125" s="34"/>
      <c r="D125" s="34"/>
      <c r="E125" s="49">
        <f>IFERROR(INDEX(Data!$E$3:$F$4,MATCH($C125,Data!$D$3:$D$4,0),MATCH($D125,Data!$E$2:$F$2,0)),5)</f>
        <v>5</v>
      </c>
      <c r="F125" s="35"/>
      <c r="G125" s="52">
        <f t="shared" ca="1" si="6"/>
        <v>-44494</v>
      </c>
      <c r="H125" s="36"/>
      <c r="I125" s="56" t="str">
        <f t="shared" si="7"/>
        <v>Chưa bắt đầu</v>
      </c>
      <c r="J125" s="37"/>
    </row>
    <row r="126" spans="1:10" s="31" customFormat="1" x14ac:dyDescent="0.2">
      <c r="A126" s="32" t="str">
        <f>IF(ISBLANK(B126),"",MAX($A$6:A125)+1)</f>
        <v/>
      </c>
      <c r="B126" s="33"/>
      <c r="C126" s="34"/>
      <c r="D126" s="34"/>
      <c r="E126" s="49">
        <f>IFERROR(INDEX(Data!$E$3:$F$4,MATCH($C126,Data!$D$3:$D$4,0),MATCH($D126,Data!$E$2:$F$2,0)),5)</f>
        <v>5</v>
      </c>
      <c r="F126" s="35"/>
      <c r="G126" s="52">
        <f t="shared" ca="1" si="6"/>
        <v>-44494</v>
      </c>
      <c r="H126" s="36"/>
      <c r="I126" s="56" t="str">
        <f t="shared" si="7"/>
        <v>Chưa bắt đầu</v>
      </c>
      <c r="J126" s="37"/>
    </row>
    <row r="127" spans="1:10" s="31" customFormat="1" x14ac:dyDescent="0.2">
      <c r="A127" s="32" t="str">
        <f>IF(ISBLANK(B127),"",MAX($A$6:A126)+1)</f>
        <v/>
      </c>
      <c r="B127" s="33"/>
      <c r="C127" s="34"/>
      <c r="D127" s="34"/>
      <c r="E127" s="49">
        <f>IFERROR(INDEX(Data!$E$3:$F$4,MATCH($C127,Data!$D$3:$D$4,0),MATCH($D127,Data!$E$2:$F$2,0)),5)</f>
        <v>5</v>
      </c>
      <c r="F127" s="35"/>
      <c r="G127" s="52">
        <f t="shared" ca="1" si="6"/>
        <v>-44494</v>
      </c>
      <c r="H127" s="36"/>
      <c r="I127" s="56" t="str">
        <f t="shared" si="7"/>
        <v>Chưa bắt đầu</v>
      </c>
      <c r="J127" s="37"/>
    </row>
    <row r="128" spans="1:10" s="31" customFormat="1" x14ac:dyDescent="0.2">
      <c r="A128" s="32" t="str">
        <f>IF(ISBLANK(B128),"",MAX($A$6:A127)+1)</f>
        <v/>
      </c>
      <c r="B128" s="33"/>
      <c r="C128" s="34"/>
      <c r="D128" s="34"/>
      <c r="E128" s="49">
        <f>IFERROR(INDEX(Data!$E$3:$F$4,MATCH($C128,Data!$D$3:$D$4,0),MATCH($D128,Data!$E$2:$F$2,0)),5)</f>
        <v>5</v>
      </c>
      <c r="F128" s="35"/>
      <c r="G128" s="52">
        <f t="shared" ca="1" si="6"/>
        <v>-44494</v>
      </c>
      <c r="H128" s="36"/>
      <c r="I128" s="56" t="str">
        <f t="shared" si="7"/>
        <v>Chưa bắt đầu</v>
      </c>
      <c r="J128" s="37"/>
    </row>
    <row r="129" spans="1:10" s="31" customFormat="1" x14ac:dyDescent="0.2">
      <c r="A129" s="32" t="str">
        <f>IF(ISBLANK(B129),"",MAX($A$6:A128)+1)</f>
        <v/>
      </c>
      <c r="B129" s="33"/>
      <c r="C129" s="34"/>
      <c r="D129" s="34"/>
      <c r="E129" s="49">
        <f>IFERROR(INDEX(Data!$E$3:$F$4,MATCH($C129,Data!$D$3:$D$4,0),MATCH($D129,Data!$E$2:$F$2,0)),5)</f>
        <v>5</v>
      </c>
      <c r="F129" s="35"/>
      <c r="G129" s="52">
        <f t="shared" ca="1" si="6"/>
        <v>-44494</v>
      </c>
      <c r="H129" s="36"/>
      <c r="I129" s="56" t="str">
        <f t="shared" si="7"/>
        <v>Chưa bắt đầu</v>
      </c>
      <c r="J129" s="37"/>
    </row>
    <row r="130" spans="1:10" s="31" customFormat="1" x14ac:dyDescent="0.2">
      <c r="A130" s="32" t="str">
        <f>IF(ISBLANK(B130),"",MAX($A$6:A129)+1)</f>
        <v/>
      </c>
      <c r="B130" s="33"/>
      <c r="C130" s="34"/>
      <c r="D130" s="34"/>
      <c r="E130" s="49">
        <f>IFERROR(INDEX(Data!$E$3:$F$4,MATCH($C130,Data!$D$3:$D$4,0),MATCH($D130,Data!$E$2:$F$2,0)),5)</f>
        <v>5</v>
      </c>
      <c r="F130" s="35"/>
      <c r="G130" s="52">
        <f t="shared" ca="1" si="6"/>
        <v>-44494</v>
      </c>
      <c r="H130" s="36"/>
      <c r="I130" s="56" t="str">
        <f t="shared" si="7"/>
        <v>Chưa bắt đầu</v>
      </c>
      <c r="J130" s="37"/>
    </row>
    <row r="131" spans="1:10" s="31" customFormat="1" x14ac:dyDescent="0.2">
      <c r="A131" s="32" t="str">
        <f>IF(ISBLANK(B131),"",MAX($A$6:A130)+1)</f>
        <v/>
      </c>
      <c r="B131" s="33"/>
      <c r="C131" s="34"/>
      <c r="D131" s="34"/>
      <c r="E131" s="49">
        <f>IFERROR(INDEX(Data!$E$3:$F$4,MATCH($C131,Data!$D$3:$D$4,0),MATCH($D131,Data!$E$2:$F$2,0)),5)</f>
        <v>5</v>
      </c>
      <c r="F131" s="35"/>
      <c r="G131" s="52">
        <f t="shared" ca="1" si="6"/>
        <v>-44494</v>
      </c>
      <c r="H131" s="36"/>
      <c r="I131" s="56" t="str">
        <f t="shared" si="7"/>
        <v>Chưa bắt đầu</v>
      </c>
      <c r="J131" s="37"/>
    </row>
    <row r="132" spans="1:10" s="31" customFormat="1" x14ac:dyDescent="0.2">
      <c r="A132" s="32" t="str">
        <f>IF(ISBLANK(B132),"",MAX($A$6:A131)+1)</f>
        <v/>
      </c>
      <c r="B132" s="33"/>
      <c r="C132" s="34"/>
      <c r="D132" s="34"/>
      <c r="E132" s="49">
        <f>IFERROR(INDEX(Data!$E$3:$F$4,MATCH($C132,Data!$D$3:$D$4,0),MATCH($D132,Data!$E$2:$F$2,0)),5)</f>
        <v>5</v>
      </c>
      <c r="F132" s="35"/>
      <c r="G132" s="52">
        <f t="shared" ca="1" si="6"/>
        <v>-44494</v>
      </c>
      <c r="H132" s="36"/>
      <c r="I132" s="56" t="str">
        <f t="shared" si="7"/>
        <v>Chưa bắt đầu</v>
      </c>
      <c r="J132" s="37"/>
    </row>
    <row r="133" spans="1:10" s="31" customFormat="1" x14ac:dyDescent="0.2">
      <c r="A133" s="32" t="str">
        <f>IF(ISBLANK(B133),"",MAX($A$6:A132)+1)</f>
        <v/>
      </c>
      <c r="B133" s="33"/>
      <c r="C133" s="34"/>
      <c r="D133" s="34"/>
      <c r="E133" s="49">
        <f>IFERROR(INDEX(Data!$E$3:$F$4,MATCH($C133,Data!$D$3:$D$4,0),MATCH($D133,Data!$E$2:$F$2,0)),5)</f>
        <v>5</v>
      </c>
      <c r="F133" s="35"/>
      <c r="G133" s="52">
        <f t="shared" ca="1" si="6"/>
        <v>-44494</v>
      </c>
      <c r="H133" s="36"/>
      <c r="I133" s="56" t="str">
        <f t="shared" si="7"/>
        <v>Chưa bắt đầu</v>
      </c>
      <c r="J133" s="37"/>
    </row>
    <row r="134" spans="1:10" s="31" customFormat="1" x14ac:dyDescent="0.2">
      <c r="A134" s="32" t="str">
        <f>IF(ISBLANK(B134),"",MAX($A$6:A133)+1)</f>
        <v/>
      </c>
      <c r="B134" s="33"/>
      <c r="C134" s="34"/>
      <c r="D134" s="34"/>
      <c r="E134" s="49">
        <f>IFERROR(INDEX(Data!$E$3:$F$4,MATCH($C134,Data!$D$3:$D$4,0),MATCH($D134,Data!$E$2:$F$2,0)),5)</f>
        <v>5</v>
      </c>
      <c r="F134" s="35"/>
      <c r="G134" s="52">
        <f t="shared" ca="1" si="6"/>
        <v>-44494</v>
      </c>
      <c r="H134" s="36"/>
      <c r="I134" s="56" t="str">
        <f t="shared" si="7"/>
        <v>Chưa bắt đầu</v>
      </c>
      <c r="J134" s="37"/>
    </row>
    <row r="135" spans="1:10" s="31" customFormat="1" x14ac:dyDescent="0.2">
      <c r="A135" s="32" t="str">
        <f>IF(ISBLANK(B135),"",MAX($A$6:A134)+1)</f>
        <v/>
      </c>
      <c r="B135" s="33"/>
      <c r="C135" s="34"/>
      <c r="D135" s="34"/>
      <c r="E135" s="49">
        <f>IFERROR(INDEX(Data!$E$3:$F$4,MATCH($C135,Data!$D$3:$D$4,0),MATCH($D135,Data!$E$2:$F$2,0)),5)</f>
        <v>5</v>
      </c>
      <c r="F135" s="35"/>
      <c r="G135" s="52">
        <f t="shared" ref="G135:G166" ca="1" si="8">F135-TODAY()</f>
        <v>-44494</v>
      </c>
      <c r="H135" s="36"/>
      <c r="I135" s="56" t="str">
        <f t="shared" ref="I135:I166" si="9">IF(H135=0%,"Chưa bắt đầu",IF(H135=100%,"Đã hoàn thành",IF(G135&lt;0, "Quá hạn","Đang thực hiện")))</f>
        <v>Chưa bắt đầu</v>
      </c>
      <c r="J135" s="37"/>
    </row>
    <row r="136" spans="1:10" s="31" customFormat="1" x14ac:dyDescent="0.2">
      <c r="A136" s="32" t="str">
        <f>IF(ISBLANK(B136),"",MAX($A$6:A135)+1)</f>
        <v/>
      </c>
      <c r="B136" s="33"/>
      <c r="C136" s="34"/>
      <c r="D136" s="34"/>
      <c r="E136" s="49">
        <f>IFERROR(INDEX(Data!$E$3:$F$4,MATCH($C136,Data!$D$3:$D$4,0),MATCH($D136,Data!$E$2:$F$2,0)),5)</f>
        <v>5</v>
      </c>
      <c r="F136" s="35"/>
      <c r="G136" s="52">
        <f t="shared" ca="1" si="8"/>
        <v>-44494</v>
      </c>
      <c r="H136" s="36"/>
      <c r="I136" s="56" t="str">
        <f t="shared" si="9"/>
        <v>Chưa bắt đầu</v>
      </c>
      <c r="J136" s="37"/>
    </row>
    <row r="137" spans="1:10" s="31" customFormat="1" x14ac:dyDescent="0.2">
      <c r="A137" s="32" t="str">
        <f>IF(ISBLANK(B137),"",MAX($A$6:A136)+1)</f>
        <v/>
      </c>
      <c r="B137" s="33"/>
      <c r="C137" s="34"/>
      <c r="D137" s="34"/>
      <c r="E137" s="49">
        <f>IFERROR(INDEX(Data!$E$3:$F$4,MATCH($C137,Data!$D$3:$D$4,0),MATCH($D137,Data!$E$2:$F$2,0)),5)</f>
        <v>5</v>
      </c>
      <c r="F137" s="35"/>
      <c r="G137" s="52">
        <f t="shared" ca="1" si="8"/>
        <v>-44494</v>
      </c>
      <c r="H137" s="36"/>
      <c r="I137" s="56" t="str">
        <f t="shared" si="9"/>
        <v>Chưa bắt đầu</v>
      </c>
      <c r="J137" s="37"/>
    </row>
    <row r="138" spans="1:10" s="31" customFormat="1" x14ac:dyDescent="0.2">
      <c r="A138" s="32" t="str">
        <f>IF(ISBLANK(B138),"",MAX($A$6:A137)+1)</f>
        <v/>
      </c>
      <c r="B138" s="33"/>
      <c r="C138" s="34"/>
      <c r="D138" s="34"/>
      <c r="E138" s="49">
        <f>IFERROR(INDEX(Data!$E$3:$F$4,MATCH($C138,Data!$D$3:$D$4,0),MATCH($D138,Data!$E$2:$F$2,0)),5)</f>
        <v>5</v>
      </c>
      <c r="F138" s="35"/>
      <c r="G138" s="52">
        <f t="shared" ca="1" si="8"/>
        <v>-44494</v>
      </c>
      <c r="H138" s="36"/>
      <c r="I138" s="56" t="str">
        <f t="shared" si="9"/>
        <v>Chưa bắt đầu</v>
      </c>
      <c r="J138" s="37"/>
    </row>
    <row r="139" spans="1:10" s="31" customFormat="1" x14ac:dyDescent="0.2">
      <c r="A139" s="32" t="str">
        <f>IF(ISBLANK(B139),"",MAX($A$6:A138)+1)</f>
        <v/>
      </c>
      <c r="B139" s="33"/>
      <c r="C139" s="34"/>
      <c r="D139" s="34"/>
      <c r="E139" s="49">
        <f>IFERROR(INDEX(Data!$E$3:$F$4,MATCH($C139,Data!$D$3:$D$4,0),MATCH($D139,Data!$E$2:$F$2,0)),5)</f>
        <v>5</v>
      </c>
      <c r="F139" s="35"/>
      <c r="G139" s="52">
        <f t="shared" ca="1" si="8"/>
        <v>-44494</v>
      </c>
      <c r="H139" s="36"/>
      <c r="I139" s="56" t="str">
        <f t="shared" si="9"/>
        <v>Chưa bắt đầu</v>
      </c>
      <c r="J139" s="37"/>
    </row>
    <row r="140" spans="1:10" s="31" customFormat="1" x14ac:dyDescent="0.2">
      <c r="A140" s="32" t="str">
        <f>IF(ISBLANK(B140),"",MAX($A$6:A139)+1)</f>
        <v/>
      </c>
      <c r="B140" s="33"/>
      <c r="C140" s="34"/>
      <c r="D140" s="34"/>
      <c r="E140" s="49">
        <f>IFERROR(INDEX(Data!$E$3:$F$4,MATCH($C140,Data!$D$3:$D$4,0),MATCH($D140,Data!$E$2:$F$2,0)),5)</f>
        <v>5</v>
      </c>
      <c r="F140" s="35"/>
      <c r="G140" s="52">
        <f t="shared" ca="1" si="8"/>
        <v>-44494</v>
      </c>
      <c r="H140" s="36"/>
      <c r="I140" s="56" t="str">
        <f t="shared" si="9"/>
        <v>Chưa bắt đầu</v>
      </c>
      <c r="J140" s="37"/>
    </row>
    <row r="141" spans="1:10" s="31" customFormat="1" x14ac:dyDescent="0.2">
      <c r="A141" s="32" t="str">
        <f>IF(ISBLANK(B141),"",MAX($A$6:A140)+1)</f>
        <v/>
      </c>
      <c r="B141" s="33"/>
      <c r="C141" s="34"/>
      <c r="D141" s="34"/>
      <c r="E141" s="49">
        <f>IFERROR(INDEX(Data!$E$3:$F$4,MATCH($C141,Data!$D$3:$D$4,0),MATCH($D141,Data!$E$2:$F$2,0)),5)</f>
        <v>5</v>
      </c>
      <c r="F141" s="35"/>
      <c r="G141" s="52">
        <f t="shared" ca="1" si="8"/>
        <v>-44494</v>
      </c>
      <c r="H141" s="36"/>
      <c r="I141" s="56" t="str">
        <f t="shared" si="9"/>
        <v>Chưa bắt đầu</v>
      </c>
      <c r="J141" s="37"/>
    </row>
    <row r="142" spans="1:10" s="31" customFormat="1" x14ac:dyDescent="0.2">
      <c r="A142" s="32" t="str">
        <f>IF(ISBLANK(B142),"",MAX($A$6:A141)+1)</f>
        <v/>
      </c>
      <c r="B142" s="33"/>
      <c r="C142" s="34"/>
      <c r="D142" s="34"/>
      <c r="E142" s="49">
        <f>IFERROR(INDEX(Data!$E$3:$F$4,MATCH($C142,Data!$D$3:$D$4,0),MATCH($D142,Data!$E$2:$F$2,0)),5)</f>
        <v>5</v>
      </c>
      <c r="F142" s="35"/>
      <c r="G142" s="52">
        <f t="shared" ca="1" si="8"/>
        <v>-44494</v>
      </c>
      <c r="H142" s="36"/>
      <c r="I142" s="56" t="str">
        <f t="shared" si="9"/>
        <v>Chưa bắt đầu</v>
      </c>
      <c r="J142" s="37"/>
    </row>
    <row r="143" spans="1:10" s="31" customFormat="1" x14ac:dyDescent="0.2">
      <c r="A143" s="32" t="str">
        <f>IF(ISBLANK(B143),"",MAX($A$6:A142)+1)</f>
        <v/>
      </c>
      <c r="B143" s="33"/>
      <c r="C143" s="34"/>
      <c r="D143" s="34"/>
      <c r="E143" s="49">
        <f>IFERROR(INDEX(Data!$E$3:$F$4,MATCH($C143,Data!$D$3:$D$4,0),MATCH($D143,Data!$E$2:$F$2,0)),5)</f>
        <v>5</v>
      </c>
      <c r="F143" s="35"/>
      <c r="G143" s="52">
        <f t="shared" ca="1" si="8"/>
        <v>-44494</v>
      </c>
      <c r="H143" s="36"/>
      <c r="I143" s="56" t="str">
        <f t="shared" si="9"/>
        <v>Chưa bắt đầu</v>
      </c>
      <c r="J143" s="37"/>
    </row>
    <row r="144" spans="1:10" s="31" customFormat="1" x14ac:dyDescent="0.2">
      <c r="A144" s="32" t="str">
        <f>IF(ISBLANK(B144),"",MAX($A$6:A143)+1)</f>
        <v/>
      </c>
      <c r="B144" s="33"/>
      <c r="C144" s="34"/>
      <c r="D144" s="34"/>
      <c r="E144" s="49">
        <f>IFERROR(INDEX(Data!$E$3:$F$4,MATCH($C144,Data!$D$3:$D$4,0),MATCH($D144,Data!$E$2:$F$2,0)),5)</f>
        <v>5</v>
      </c>
      <c r="F144" s="35"/>
      <c r="G144" s="52">
        <f t="shared" ca="1" si="8"/>
        <v>-44494</v>
      </c>
      <c r="H144" s="36"/>
      <c r="I144" s="56" t="str">
        <f t="shared" si="9"/>
        <v>Chưa bắt đầu</v>
      </c>
      <c r="J144" s="37"/>
    </row>
    <row r="145" spans="1:10" s="31" customFormat="1" x14ac:dyDescent="0.2">
      <c r="A145" s="32" t="str">
        <f>IF(ISBLANK(B145),"",MAX($A$6:A144)+1)</f>
        <v/>
      </c>
      <c r="B145" s="33"/>
      <c r="C145" s="34"/>
      <c r="D145" s="34"/>
      <c r="E145" s="49">
        <f>IFERROR(INDEX(Data!$E$3:$F$4,MATCH($C145,Data!$D$3:$D$4,0),MATCH($D145,Data!$E$2:$F$2,0)),5)</f>
        <v>5</v>
      </c>
      <c r="F145" s="35"/>
      <c r="G145" s="52">
        <f t="shared" ca="1" si="8"/>
        <v>-44494</v>
      </c>
      <c r="H145" s="36"/>
      <c r="I145" s="56" t="str">
        <f t="shared" si="9"/>
        <v>Chưa bắt đầu</v>
      </c>
      <c r="J145" s="37"/>
    </row>
    <row r="146" spans="1:10" s="31" customFormat="1" x14ac:dyDescent="0.2">
      <c r="A146" s="32" t="str">
        <f>IF(ISBLANK(B146),"",MAX($A$6:A145)+1)</f>
        <v/>
      </c>
      <c r="B146" s="33"/>
      <c r="C146" s="34"/>
      <c r="D146" s="34"/>
      <c r="E146" s="49">
        <f>IFERROR(INDEX(Data!$E$3:$F$4,MATCH($C146,Data!$D$3:$D$4,0),MATCH($D146,Data!$E$2:$F$2,0)),5)</f>
        <v>5</v>
      </c>
      <c r="F146" s="35"/>
      <c r="G146" s="52">
        <f t="shared" ca="1" si="8"/>
        <v>-44494</v>
      </c>
      <c r="H146" s="36"/>
      <c r="I146" s="56" t="str">
        <f t="shared" si="9"/>
        <v>Chưa bắt đầu</v>
      </c>
      <c r="J146" s="37"/>
    </row>
    <row r="147" spans="1:10" s="31" customFormat="1" x14ac:dyDescent="0.2">
      <c r="A147" s="32" t="str">
        <f>IF(ISBLANK(B147),"",MAX($A$6:A146)+1)</f>
        <v/>
      </c>
      <c r="B147" s="33"/>
      <c r="C147" s="34"/>
      <c r="D147" s="34"/>
      <c r="E147" s="49">
        <f>IFERROR(INDEX(Data!$E$3:$F$4,MATCH($C147,Data!$D$3:$D$4,0),MATCH($D147,Data!$E$2:$F$2,0)),5)</f>
        <v>5</v>
      </c>
      <c r="F147" s="35"/>
      <c r="G147" s="52">
        <f t="shared" ca="1" si="8"/>
        <v>-44494</v>
      </c>
      <c r="H147" s="36"/>
      <c r="I147" s="56" t="str">
        <f t="shared" si="9"/>
        <v>Chưa bắt đầu</v>
      </c>
      <c r="J147" s="37"/>
    </row>
    <row r="148" spans="1:10" s="31" customFormat="1" x14ac:dyDescent="0.2">
      <c r="A148" s="32" t="str">
        <f>IF(ISBLANK(B148),"",MAX($A$6:A147)+1)</f>
        <v/>
      </c>
      <c r="B148" s="33"/>
      <c r="C148" s="34"/>
      <c r="D148" s="34"/>
      <c r="E148" s="49">
        <f>IFERROR(INDEX(Data!$E$3:$F$4,MATCH($C148,Data!$D$3:$D$4,0),MATCH($D148,Data!$E$2:$F$2,0)),5)</f>
        <v>5</v>
      </c>
      <c r="F148" s="35"/>
      <c r="G148" s="52">
        <f t="shared" ca="1" si="8"/>
        <v>-44494</v>
      </c>
      <c r="H148" s="36"/>
      <c r="I148" s="56" t="str">
        <f t="shared" si="9"/>
        <v>Chưa bắt đầu</v>
      </c>
      <c r="J148" s="37"/>
    </row>
    <row r="149" spans="1:10" s="31" customFormat="1" x14ac:dyDescent="0.2">
      <c r="A149" s="32" t="str">
        <f>IF(ISBLANK(B149),"",MAX($A$6:A148)+1)</f>
        <v/>
      </c>
      <c r="B149" s="33"/>
      <c r="C149" s="34"/>
      <c r="D149" s="34"/>
      <c r="E149" s="49">
        <f>IFERROR(INDEX(Data!$E$3:$F$4,MATCH($C149,Data!$D$3:$D$4,0),MATCH($D149,Data!$E$2:$F$2,0)),5)</f>
        <v>5</v>
      </c>
      <c r="F149" s="35"/>
      <c r="G149" s="52">
        <f t="shared" ca="1" si="8"/>
        <v>-44494</v>
      </c>
      <c r="H149" s="36"/>
      <c r="I149" s="56" t="str">
        <f t="shared" si="9"/>
        <v>Chưa bắt đầu</v>
      </c>
      <c r="J149" s="37"/>
    </row>
    <row r="150" spans="1:10" s="31" customFormat="1" x14ac:dyDescent="0.2">
      <c r="A150" s="32" t="str">
        <f>IF(ISBLANK(B150),"",MAX($A$6:A149)+1)</f>
        <v/>
      </c>
      <c r="B150" s="33"/>
      <c r="C150" s="34"/>
      <c r="D150" s="34"/>
      <c r="E150" s="49">
        <f>IFERROR(INDEX(Data!$E$3:$F$4,MATCH($C150,Data!$D$3:$D$4,0),MATCH($D150,Data!$E$2:$F$2,0)),5)</f>
        <v>5</v>
      </c>
      <c r="F150" s="35"/>
      <c r="G150" s="52">
        <f t="shared" ca="1" si="8"/>
        <v>-44494</v>
      </c>
      <c r="H150" s="36"/>
      <c r="I150" s="56" t="str">
        <f t="shared" si="9"/>
        <v>Chưa bắt đầu</v>
      </c>
      <c r="J150" s="37"/>
    </row>
    <row r="151" spans="1:10" s="31" customFormat="1" x14ac:dyDescent="0.2">
      <c r="A151" s="32" t="str">
        <f>IF(ISBLANK(B151),"",MAX($A$6:A150)+1)</f>
        <v/>
      </c>
      <c r="B151" s="33"/>
      <c r="C151" s="34"/>
      <c r="D151" s="34"/>
      <c r="E151" s="49">
        <f>IFERROR(INDEX(Data!$E$3:$F$4,MATCH($C151,Data!$D$3:$D$4,0),MATCH($D151,Data!$E$2:$F$2,0)),5)</f>
        <v>5</v>
      </c>
      <c r="F151" s="35"/>
      <c r="G151" s="52">
        <f t="shared" ca="1" si="8"/>
        <v>-44494</v>
      </c>
      <c r="H151" s="36"/>
      <c r="I151" s="56" t="str">
        <f t="shared" si="9"/>
        <v>Chưa bắt đầu</v>
      </c>
      <c r="J151" s="37"/>
    </row>
    <row r="152" spans="1:10" s="31" customFormat="1" x14ac:dyDescent="0.2">
      <c r="A152" s="32" t="str">
        <f>IF(ISBLANK(B152),"",MAX($A$6:A151)+1)</f>
        <v/>
      </c>
      <c r="B152" s="33"/>
      <c r="C152" s="34"/>
      <c r="D152" s="34"/>
      <c r="E152" s="49">
        <f>IFERROR(INDEX(Data!$E$3:$F$4,MATCH($C152,Data!$D$3:$D$4,0),MATCH($D152,Data!$E$2:$F$2,0)),5)</f>
        <v>5</v>
      </c>
      <c r="F152" s="35"/>
      <c r="G152" s="52">
        <f t="shared" ca="1" si="8"/>
        <v>-44494</v>
      </c>
      <c r="H152" s="36"/>
      <c r="I152" s="56" t="str">
        <f t="shared" si="9"/>
        <v>Chưa bắt đầu</v>
      </c>
      <c r="J152" s="37"/>
    </row>
    <row r="153" spans="1:10" s="31" customFormat="1" x14ac:dyDescent="0.2">
      <c r="A153" s="32" t="str">
        <f>IF(ISBLANK(B153),"",MAX($A$6:A152)+1)</f>
        <v/>
      </c>
      <c r="B153" s="33"/>
      <c r="C153" s="34"/>
      <c r="D153" s="34"/>
      <c r="E153" s="49">
        <f>IFERROR(INDEX(Data!$E$3:$F$4,MATCH($C153,Data!$D$3:$D$4,0),MATCH($D153,Data!$E$2:$F$2,0)),5)</f>
        <v>5</v>
      </c>
      <c r="F153" s="35"/>
      <c r="G153" s="52">
        <f t="shared" ca="1" si="8"/>
        <v>-44494</v>
      </c>
      <c r="H153" s="36"/>
      <c r="I153" s="56" t="str">
        <f t="shared" si="9"/>
        <v>Chưa bắt đầu</v>
      </c>
      <c r="J153" s="37"/>
    </row>
    <row r="154" spans="1:10" s="31" customFormat="1" x14ac:dyDescent="0.2">
      <c r="A154" s="32" t="str">
        <f>IF(ISBLANK(B154),"",MAX($A$6:A153)+1)</f>
        <v/>
      </c>
      <c r="B154" s="33"/>
      <c r="C154" s="34"/>
      <c r="D154" s="34"/>
      <c r="E154" s="49">
        <f>IFERROR(INDEX(Data!$E$3:$F$4,MATCH($C154,Data!$D$3:$D$4,0),MATCH($D154,Data!$E$2:$F$2,0)),5)</f>
        <v>5</v>
      </c>
      <c r="F154" s="35"/>
      <c r="G154" s="52">
        <f t="shared" ca="1" si="8"/>
        <v>-44494</v>
      </c>
      <c r="H154" s="36"/>
      <c r="I154" s="56" t="str">
        <f t="shared" si="9"/>
        <v>Chưa bắt đầu</v>
      </c>
      <c r="J154" s="37"/>
    </row>
    <row r="155" spans="1:10" s="31" customFormat="1" x14ac:dyDescent="0.2">
      <c r="A155" s="32" t="str">
        <f>IF(ISBLANK(B155),"",MAX($A$6:A154)+1)</f>
        <v/>
      </c>
      <c r="B155" s="33"/>
      <c r="C155" s="34"/>
      <c r="D155" s="34"/>
      <c r="E155" s="49">
        <f>IFERROR(INDEX(Data!$E$3:$F$4,MATCH($C155,Data!$D$3:$D$4,0),MATCH($D155,Data!$E$2:$F$2,0)),5)</f>
        <v>5</v>
      </c>
      <c r="F155" s="35"/>
      <c r="G155" s="52">
        <f t="shared" ca="1" si="8"/>
        <v>-44494</v>
      </c>
      <c r="H155" s="36"/>
      <c r="I155" s="56" t="str">
        <f t="shared" si="9"/>
        <v>Chưa bắt đầu</v>
      </c>
      <c r="J155" s="37"/>
    </row>
    <row r="156" spans="1:10" s="31" customFormat="1" x14ac:dyDescent="0.2">
      <c r="A156" s="32" t="str">
        <f>IF(ISBLANK(B156),"",MAX($A$6:A155)+1)</f>
        <v/>
      </c>
      <c r="B156" s="33"/>
      <c r="C156" s="34"/>
      <c r="D156" s="34"/>
      <c r="E156" s="49">
        <f>IFERROR(INDEX(Data!$E$3:$F$4,MATCH($C156,Data!$D$3:$D$4,0),MATCH($D156,Data!$E$2:$F$2,0)),5)</f>
        <v>5</v>
      </c>
      <c r="F156" s="35"/>
      <c r="G156" s="52">
        <f t="shared" ca="1" si="8"/>
        <v>-44494</v>
      </c>
      <c r="H156" s="36"/>
      <c r="I156" s="56" t="str">
        <f t="shared" si="9"/>
        <v>Chưa bắt đầu</v>
      </c>
      <c r="J156" s="37"/>
    </row>
    <row r="157" spans="1:10" s="31" customFormat="1" x14ac:dyDescent="0.2">
      <c r="A157" s="32" t="str">
        <f>IF(ISBLANK(B157),"",MAX($A$6:A156)+1)</f>
        <v/>
      </c>
      <c r="B157" s="33"/>
      <c r="C157" s="34"/>
      <c r="D157" s="34"/>
      <c r="E157" s="49">
        <f>IFERROR(INDEX(Data!$E$3:$F$4,MATCH($C157,Data!$D$3:$D$4,0),MATCH($D157,Data!$E$2:$F$2,0)),5)</f>
        <v>5</v>
      </c>
      <c r="F157" s="35"/>
      <c r="G157" s="52">
        <f t="shared" ca="1" si="8"/>
        <v>-44494</v>
      </c>
      <c r="H157" s="36"/>
      <c r="I157" s="56" t="str">
        <f t="shared" si="9"/>
        <v>Chưa bắt đầu</v>
      </c>
      <c r="J157" s="37"/>
    </row>
    <row r="158" spans="1:10" s="31" customFormat="1" x14ac:dyDescent="0.2">
      <c r="A158" s="32" t="str">
        <f>IF(ISBLANK(B158),"",MAX($A$6:A157)+1)</f>
        <v/>
      </c>
      <c r="B158" s="33"/>
      <c r="C158" s="34"/>
      <c r="D158" s="34"/>
      <c r="E158" s="49">
        <f>IFERROR(INDEX(Data!$E$3:$F$4,MATCH($C158,Data!$D$3:$D$4,0),MATCH($D158,Data!$E$2:$F$2,0)),5)</f>
        <v>5</v>
      </c>
      <c r="F158" s="35"/>
      <c r="G158" s="52">
        <f t="shared" ca="1" si="8"/>
        <v>-44494</v>
      </c>
      <c r="H158" s="36"/>
      <c r="I158" s="56" t="str">
        <f t="shared" si="9"/>
        <v>Chưa bắt đầu</v>
      </c>
      <c r="J158" s="37"/>
    </row>
    <row r="159" spans="1:10" s="31" customFormat="1" x14ac:dyDescent="0.2">
      <c r="A159" s="32" t="str">
        <f>IF(ISBLANK(B159),"",MAX($A$6:A158)+1)</f>
        <v/>
      </c>
      <c r="B159" s="33"/>
      <c r="C159" s="34"/>
      <c r="D159" s="34"/>
      <c r="E159" s="49">
        <f>IFERROR(INDEX(Data!$E$3:$F$4,MATCH($C159,Data!$D$3:$D$4,0),MATCH($D159,Data!$E$2:$F$2,0)),5)</f>
        <v>5</v>
      </c>
      <c r="F159" s="35"/>
      <c r="G159" s="52">
        <f t="shared" ca="1" si="8"/>
        <v>-44494</v>
      </c>
      <c r="H159" s="36"/>
      <c r="I159" s="56" t="str">
        <f t="shared" si="9"/>
        <v>Chưa bắt đầu</v>
      </c>
      <c r="J159" s="37"/>
    </row>
    <row r="160" spans="1:10" s="31" customFormat="1" x14ac:dyDescent="0.2">
      <c r="A160" s="32" t="str">
        <f>IF(ISBLANK(B160),"",MAX($A$6:A159)+1)</f>
        <v/>
      </c>
      <c r="B160" s="33"/>
      <c r="C160" s="34"/>
      <c r="D160" s="34"/>
      <c r="E160" s="49">
        <f>IFERROR(INDEX(Data!$E$3:$F$4,MATCH($C160,Data!$D$3:$D$4,0),MATCH($D160,Data!$E$2:$F$2,0)),5)</f>
        <v>5</v>
      </c>
      <c r="F160" s="35"/>
      <c r="G160" s="52">
        <f t="shared" ca="1" si="8"/>
        <v>-44494</v>
      </c>
      <c r="H160" s="36"/>
      <c r="I160" s="56" t="str">
        <f t="shared" si="9"/>
        <v>Chưa bắt đầu</v>
      </c>
      <c r="J160" s="37"/>
    </row>
    <row r="161" spans="1:10" s="31" customFormat="1" x14ac:dyDescent="0.2">
      <c r="A161" s="32" t="str">
        <f>IF(ISBLANK(B161),"",MAX($A$6:A160)+1)</f>
        <v/>
      </c>
      <c r="B161" s="33"/>
      <c r="C161" s="34"/>
      <c r="D161" s="34"/>
      <c r="E161" s="49">
        <f>IFERROR(INDEX(Data!$E$3:$F$4,MATCH($C161,Data!$D$3:$D$4,0),MATCH($D161,Data!$E$2:$F$2,0)),5)</f>
        <v>5</v>
      </c>
      <c r="F161" s="35"/>
      <c r="G161" s="52">
        <f t="shared" ca="1" si="8"/>
        <v>-44494</v>
      </c>
      <c r="H161" s="36"/>
      <c r="I161" s="56" t="str">
        <f t="shared" si="9"/>
        <v>Chưa bắt đầu</v>
      </c>
      <c r="J161" s="37"/>
    </row>
    <row r="162" spans="1:10" s="31" customFormat="1" x14ac:dyDescent="0.2">
      <c r="A162" s="32" t="str">
        <f>IF(ISBLANK(B162),"",MAX($A$6:A161)+1)</f>
        <v/>
      </c>
      <c r="B162" s="33"/>
      <c r="C162" s="34"/>
      <c r="D162" s="34"/>
      <c r="E162" s="49">
        <f>IFERROR(INDEX(Data!$E$3:$F$4,MATCH($C162,Data!$D$3:$D$4,0),MATCH($D162,Data!$E$2:$F$2,0)),5)</f>
        <v>5</v>
      </c>
      <c r="F162" s="35"/>
      <c r="G162" s="52">
        <f t="shared" ca="1" si="8"/>
        <v>-44494</v>
      </c>
      <c r="H162" s="36"/>
      <c r="I162" s="56" t="str">
        <f t="shared" si="9"/>
        <v>Chưa bắt đầu</v>
      </c>
      <c r="J162" s="37"/>
    </row>
    <row r="163" spans="1:10" s="31" customFormat="1" x14ac:dyDescent="0.2">
      <c r="A163" s="32" t="str">
        <f>IF(ISBLANK(B163),"",MAX($A$6:A162)+1)</f>
        <v/>
      </c>
      <c r="B163" s="33"/>
      <c r="C163" s="34"/>
      <c r="D163" s="34"/>
      <c r="E163" s="49">
        <f>IFERROR(INDEX(Data!$E$3:$F$4,MATCH($C163,Data!$D$3:$D$4,0),MATCH($D163,Data!$E$2:$F$2,0)),5)</f>
        <v>5</v>
      </c>
      <c r="F163" s="35"/>
      <c r="G163" s="52">
        <f t="shared" ca="1" si="8"/>
        <v>-44494</v>
      </c>
      <c r="H163" s="36"/>
      <c r="I163" s="56" t="str">
        <f t="shared" si="9"/>
        <v>Chưa bắt đầu</v>
      </c>
      <c r="J163" s="37"/>
    </row>
    <row r="164" spans="1:10" s="31" customFormat="1" x14ac:dyDescent="0.2">
      <c r="A164" s="32" t="str">
        <f>IF(ISBLANK(B164),"",MAX($A$6:A163)+1)</f>
        <v/>
      </c>
      <c r="B164" s="33"/>
      <c r="C164" s="34"/>
      <c r="D164" s="34"/>
      <c r="E164" s="49">
        <f>IFERROR(INDEX(Data!$E$3:$F$4,MATCH($C164,Data!$D$3:$D$4,0),MATCH($D164,Data!$E$2:$F$2,0)),5)</f>
        <v>5</v>
      </c>
      <c r="F164" s="35"/>
      <c r="G164" s="52">
        <f t="shared" ca="1" si="8"/>
        <v>-44494</v>
      </c>
      <c r="H164" s="36"/>
      <c r="I164" s="56" t="str">
        <f t="shared" si="9"/>
        <v>Chưa bắt đầu</v>
      </c>
      <c r="J164" s="37"/>
    </row>
    <row r="165" spans="1:10" s="31" customFormat="1" x14ac:dyDescent="0.2">
      <c r="A165" s="32" t="str">
        <f>IF(ISBLANK(B165),"",MAX($A$6:A164)+1)</f>
        <v/>
      </c>
      <c r="B165" s="33"/>
      <c r="C165" s="34"/>
      <c r="D165" s="34"/>
      <c r="E165" s="49">
        <f>IFERROR(INDEX(Data!$E$3:$F$4,MATCH($C165,Data!$D$3:$D$4,0),MATCH($D165,Data!$E$2:$F$2,0)),5)</f>
        <v>5</v>
      </c>
      <c r="F165" s="35"/>
      <c r="G165" s="52">
        <f t="shared" ca="1" si="8"/>
        <v>-44494</v>
      </c>
      <c r="H165" s="36"/>
      <c r="I165" s="56" t="str">
        <f t="shared" si="9"/>
        <v>Chưa bắt đầu</v>
      </c>
      <c r="J165" s="37"/>
    </row>
    <row r="166" spans="1:10" s="31" customFormat="1" x14ac:dyDescent="0.2">
      <c r="A166" s="32" t="str">
        <f>IF(ISBLANK(B166),"",MAX($A$6:A165)+1)</f>
        <v/>
      </c>
      <c r="B166" s="33"/>
      <c r="C166" s="34"/>
      <c r="D166" s="34"/>
      <c r="E166" s="49">
        <f>IFERROR(INDEX(Data!$E$3:$F$4,MATCH($C166,Data!$D$3:$D$4,0),MATCH($D166,Data!$E$2:$F$2,0)),5)</f>
        <v>5</v>
      </c>
      <c r="F166" s="35"/>
      <c r="G166" s="52">
        <f t="shared" ca="1" si="8"/>
        <v>-44494</v>
      </c>
      <c r="H166" s="36"/>
      <c r="I166" s="56" t="str">
        <f t="shared" si="9"/>
        <v>Chưa bắt đầu</v>
      </c>
      <c r="J166" s="37"/>
    </row>
    <row r="167" spans="1:10" s="31" customFormat="1" x14ac:dyDescent="0.2">
      <c r="A167" s="32" t="str">
        <f>IF(ISBLANK(B167),"",MAX($A$6:A166)+1)</f>
        <v/>
      </c>
      <c r="B167" s="33"/>
      <c r="C167" s="34"/>
      <c r="D167" s="34"/>
      <c r="E167" s="49">
        <f>IFERROR(INDEX(Data!$E$3:$F$4,MATCH($C167,Data!$D$3:$D$4,0),MATCH($D167,Data!$E$2:$F$2,0)),5)</f>
        <v>5</v>
      </c>
      <c r="F167" s="35"/>
      <c r="G167" s="52">
        <f t="shared" ref="G167:G198" ca="1" si="10">F167-TODAY()</f>
        <v>-44494</v>
      </c>
      <c r="H167" s="36"/>
      <c r="I167" s="56" t="str">
        <f t="shared" ref="I167:I198" si="11">IF(H167=0%,"Chưa bắt đầu",IF(H167=100%,"Đã hoàn thành",IF(G167&lt;0, "Quá hạn","Đang thực hiện")))</f>
        <v>Chưa bắt đầu</v>
      </c>
      <c r="J167" s="37"/>
    </row>
    <row r="168" spans="1:10" s="31" customFormat="1" x14ac:dyDescent="0.2">
      <c r="A168" s="32" t="str">
        <f>IF(ISBLANK(B168),"",MAX($A$6:A167)+1)</f>
        <v/>
      </c>
      <c r="B168" s="33"/>
      <c r="C168" s="34"/>
      <c r="D168" s="34"/>
      <c r="E168" s="49">
        <f>IFERROR(INDEX(Data!$E$3:$F$4,MATCH($C168,Data!$D$3:$D$4,0),MATCH($D168,Data!$E$2:$F$2,0)),5)</f>
        <v>5</v>
      </c>
      <c r="F168" s="35"/>
      <c r="G168" s="52">
        <f t="shared" ca="1" si="10"/>
        <v>-44494</v>
      </c>
      <c r="H168" s="36"/>
      <c r="I168" s="56" t="str">
        <f t="shared" si="11"/>
        <v>Chưa bắt đầu</v>
      </c>
      <c r="J168" s="37"/>
    </row>
    <row r="169" spans="1:10" s="31" customFormat="1" x14ac:dyDescent="0.2">
      <c r="A169" s="32" t="str">
        <f>IF(ISBLANK(B169),"",MAX($A$6:A168)+1)</f>
        <v/>
      </c>
      <c r="B169" s="33"/>
      <c r="C169" s="34"/>
      <c r="D169" s="34"/>
      <c r="E169" s="49">
        <f>IFERROR(INDEX(Data!$E$3:$F$4,MATCH($C169,Data!$D$3:$D$4,0),MATCH($D169,Data!$E$2:$F$2,0)),5)</f>
        <v>5</v>
      </c>
      <c r="F169" s="35"/>
      <c r="G169" s="52">
        <f t="shared" ca="1" si="10"/>
        <v>-44494</v>
      </c>
      <c r="H169" s="36"/>
      <c r="I169" s="56" t="str">
        <f t="shared" si="11"/>
        <v>Chưa bắt đầu</v>
      </c>
      <c r="J169" s="37"/>
    </row>
    <row r="170" spans="1:10" s="31" customFormat="1" x14ac:dyDescent="0.2">
      <c r="A170" s="32" t="str">
        <f>IF(ISBLANK(B170),"",MAX($A$6:A169)+1)</f>
        <v/>
      </c>
      <c r="B170" s="33"/>
      <c r="C170" s="34"/>
      <c r="D170" s="34"/>
      <c r="E170" s="49">
        <f>IFERROR(INDEX(Data!$E$3:$F$4,MATCH($C170,Data!$D$3:$D$4,0),MATCH($D170,Data!$E$2:$F$2,0)),5)</f>
        <v>5</v>
      </c>
      <c r="F170" s="35"/>
      <c r="G170" s="52">
        <f t="shared" ca="1" si="10"/>
        <v>-44494</v>
      </c>
      <c r="H170" s="36"/>
      <c r="I170" s="56" t="str">
        <f t="shared" si="11"/>
        <v>Chưa bắt đầu</v>
      </c>
      <c r="J170" s="37"/>
    </row>
    <row r="171" spans="1:10" s="31" customFormat="1" x14ac:dyDescent="0.2">
      <c r="A171" s="32" t="str">
        <f>IF(ISBLANK(B171),"",MAX($A$6:A170)+1)</f>
        <v/>
      </c>
      <c r="B171" s="33"/>
      <c r="C171" s="34"/>
      <c r="D171" s="34"/>
      <c r="E171" s="49">
        <f>IFERROR(INDEX(Data!$E$3:$F$4,MATCH($C171,Data!$D$3:$D$4,0),MATCH($D171,Data!$E$2:$F$2,0)),5)</f>
        <v>5</v>
      </c>
      <c r="F171" s="35"/>
      <c r="G171" s="52">
        <f t="shared" ca="1" si="10"/>
        <v>-44494</v>
      </c>
      <c r="H171" s="36"/>
      <c r="I171" s="56" t="str">
        <f t="shared" si="11"/>
        <v>Chưa bắt đầu</v>
      </c>
      <c r="J171" s="37"/>
    </row>
    <row r="172" spans="1:10" s="31" customFormat="1" x14ac:dyDescent="0.2">
      <c r="A172" s="32" t="str">
        <f>IF(ISBLANK(B172),"",MAX($A$6:A171)+1)</f>
        <v/>
      </c>
      <c r="B172" s="33"/>
      <c r="C172" s="34"/>
      <c r="D172" s="34"/>
      <c r="E172" s="49">
        <f>IFERROR(INDEX(Data!$E$3:$F$4,MATCH($C172,Data!$D$3:$D$4,0),MATCH($D172,Data!$E$2:$F$2,0)),5)</f>
        <v>5</v>
      </c>
      <c r="F172" s="35"/>
      <c r="G172" s="52">
        <f t="shared" ca="1" si="10"/>
        <v>-44494</v>
      </c>
      <c r="H172" s="36"/>
      <c r="I172" s="56" t="str">
        <f t="shared" si="11"/>
        <v>Chưa bắt đầu</v>
      </c>
      <c r="J172" s="37"/>
    </row>
    <row r="173" spans="1:10" s="31" customFormat="1" x14ac:dyDescent="0.2">
      <c r="A173" s="32" t="str">
        <f>IF(ISBLANK(B173),"",MAX($A$6:A172)+1)</f>
        <v/>
      </c>
      <c r="B173" s="33"/>
      <c r="C173" s="34"/>
      <c r="D173" s="34"/>
      <c r="E173" s="49">
        <f>IFERROR(INDEX(Data!$E$3:$F$4,MATCH($C173,Data!$D$3:$D$4,0),MATCH($D173,Data!$E$2:$F$2,0)),5)</f>
        <v>5</v>
      </c>
      <c r="F173" s="35"/>
      <c r="G173" s="52">
        <f t="shared" ca="1" si="10"/>
        <v>-44494</v>
      </c>
      <c r="H173" s="36"/>
      <c r="I173" s="56" t="str">
        <f t="shared" si="11"/>
        <v>Chưa bắt đầu</v>
      </c>
      <c r="J173" s="37"/>
    </row>
    <row r="174" spans="1:10" s="31" customFormat="1" x14ac:dyDescent="0.2">
      <c r="A174" s="32" t="str">
        <f>IF(ISBLANK(B174),"",MAX($A$6:A173)+1)</f>
        <v/>
      </c>
      <c r="B174" s="33"/>
      <c r="C174" s="34"/>
      <c r="D174" s="34"/>
      <c r="E174" s="49">
        <f>IFERROR(INDEX(Data!$E$3:$F$4,MATCH($C174,Data!$D$3:$D$4,0),MATCH($D174,Data!$E$2:$F$2,0)),5)</f>
        <v>5</v>
      </c>
      <c r="F174" s="35"/>
      <c r="G174" s="52">
        <f t="shared" ca="1" si="10"/>
        <v>-44494</v>
      </c>
      <c r="H174" s="36"/>
      <c r="I174" s="56" t="str">
        <f t="shared" si="11"/>
        <v>Chưa bắt đầu</v>
      </c>
      <c r="J174" s="37"/>
    </row>
    <row r="175" spans="1:10" s="31" customFormat="1" x14ac:dyDescent="0.2">
      <c r="A175" s="32" t="str">
        <f>IF(ISBLANK(B175),"",MAX($A$6:A174)+1)</f>
        <v/>
      </c>
      <c r="B175" s="33"/>
      <c r="C175" s="34"/>
      <c r="D175" s="34"/>
      <c r="E175" s="49">
        <f>IFERROR(INDEX(Data!$E$3:$F$4,MATCH($C175,Data!$D$3:$D$4,0),MATCH($D175,Data!$E$2:$F$2,0)),5)</f>
        <v>5</v>
      </c>
      <c r="F175" s="35"/>
      <c r="G175" s="52">
        <f t="shared" ca="1" si="10"/>
        <v>-44494</v>
      </c>
      <c r="H175" s="36"/>
      <c r="I175" s="56" t="str">
        <f t="shared" si="11"/>
        <v>Chưa bắt đầu</v>
      </c>
      <c r="J175" s="37"/>
    </row>
    <row r="176" spans="1:10" s="31" customFormat="1" x14ac:dyDescent="0.2">
      <c r="A176" s="32" t="str">
        <f>IF(ISBLANK(B176),"",MAX($A$6:A175)+1)</f>
        <v/>
      </c>
      <c r="B176" s="33"/>
      <c r="C176" s="34"/>
      <c r="D176" s="34"/>
      <c r="E176" s="49">
        <f>IFERROR(INDEX(Data!$E$3:$F$4,MATCH($C176,Data!$D$3:$D$4,0),MATCH($D176,Data!$E$2:$F$2,0)),5)</f>
        <v>5</v>
      </c>
      <c r="F176" s="35"/>
      <c r="G176" s="52">
        <f t="shared" ca="1" si="10"/>
        <v>-44494</v>
      </c>
      <c r="H176" s="36"/>
      <c r="I176" s="56" t="str">
        <f t="shared" si="11"/>
        <v>Chưa bắt đầu</v>
      </c>
      <c r="J176" s="37"/>
    </row>
    <row r="177" spans="1:10" s="31" customFormat="1" x14ac:dyDescent="0.2">
      <c r="A177" s="32" t="str">
        <f>IF(ISBLANK(B177),"",MAX($A$6:A176)+1)</f>
        <v/>
      </c>
      <c r="B177" s="33"/>
      <c r="C177" s="34"/>
      <c r="D177" s="34"/>
      <c r="E177" s="49">
        <f>IFERROR(INDEX(Data!$E$3:$F$4,MATCH($C177,Data!$D$3:$D$4,0),MATCH($D177,Data!$E$2:$F$2,0)),5)</f>
        <v>5</v>
      </c>
      <c r="F177" s="35"/>
      <c r="G177" s="52">
        <f t="shared" ca="1" si="10"/>
        <v>-44494</v>
      </c>
      <c r="H177" s="36"/>
      <c r="I177" s="56" t="str">
        <f t="shared" si="11"/>
        <v>Chưa bắt đầu</v>
      </c>
      <c r="J177" s="37"/>
    </row>
    <row r="178" spans="1:10" s="31" customFormat="1" x14ac:dyDescent="0.2">
      <c r="A178" s="32" t="str">
        <f>IF(ISBLANK(B178),"",MAX($A$6:A177)+1)</f>
        <v/>
      </c>
      <c r="B178" s="33"/>
      <c r="C178" s="34"/>
      <c r="D178" s="34"/>
      <c r="E178" s="49">
        <f>IFERROR(INDEX(Data!$E$3:$F$4,MATCH($C178,Data!$D$3:$D$4,0),MATCH($D178,Data!$E$2:$F$2,0)),5)</f>
        <v>5</v>
      </c>
      <c r="F178" s="35"/>
      <c r="G178" s="52">
        <f t="shared" ca="1" si="10"/>
        <v>-44494</v>
      </c>
      <c r="H178" s="36"/>
      <c r="I178" s="56" t="str">
        <f t="shared" si="11"/>
        <v>Chưa bắt đầu</v>
      </c>
      <c r="J178" s="37"/>
    </row>
    <row r="179" spans="1:10" s="31" customFormat="1" x14ac:dyDescent="0.2">
      <c r="A179" s="32" t="str">
        <f>IF(ISBLANK(B179),"",MAX($A$6:A178)+1)</f>
        <v/>
      </c>
      <c r="B179" s="33"/>
      <c r="C179" s="34"/>
      <c r="D179" s="34"/>
      <c r="E179" s="49">
        <f>IFERROR(INDEX(Data!$E$3:$F$4,MATCH($C179,Data!$D$3:$D$4,0),MATCH($D179,Data!$E$2:$F$2,0)),5)</f>
        <v>5</v>
      </c>
      <c r="F179" s="35"/>
      <c r="G179" s="52">
        <f t="shared" ca="1" si="10"/>
        <v>-44494</v>
      </c>
      <c r="H179" s="36"/>
      <c r="I179" s="56" t="str">
        <f t="shared" si="11"/>
        <v>Chưa bắt đầu</v>
      </c>
      <c r="J179" s="37"/>
    </row>
    <row r="180" spans="1:10" s="31" customFormat="1" x14ac:dyDescent="0.2">
      <c r="A180" s="32" t="str">
        <f>IF(ISBLANK(B180),"",MAX($A$6:A179)+1)</f>
        <v/>
      </c>
      <c r="B180" s="33"/>
      <c r="C180" s="34"/>
      <c r="D180" s="34"/>
      <c r="E180" s="49">
        <f>IFERROR(INDEX(Data!$E$3:$F$4,MATCH($C180,Data!$D$3:$D$4,0),MATCH($D180,Data!$E$2:$F$2,0)),5)</f>
        <v>5</v>
      </c>
      <c r="F180" s="35"/>
      <c r="G180" s="52">
        <f t="shared" ca="1" si="10"/>
        <v>-44494</v>
      </c>
      <c r="H180" s="36"/>
      <c r="I180" s="56" t="str">
        <f t="shared" si="11"/>
        <v>Chưa bắt đầu</v>
      </c>
      <c r="J180" s="37"/>
    </row>
    <row r="181" spans="1:10" s="31" customFormat="1" x14ac:dyDescent="0.2">
      <c r="A181" s="32" t="str">
        <f>IF(ISBLANK(B181),"",MAX($A$6:A180)+1)</f>
        <v/>
      </c>
      <c r="B181" s="33"/>
      <c r="C181" s="34"/>
      <c r="D181" s="34"/>
      <c r="E181" s="49">
        <f>IFERROR(INDEX(Data!$E$3:$F$4,MATCH($C181,Data!$D$3:$D$4,0),MATCH($D181,Data!$E$2:$F$2,0)),5)</f>
        <v>5</v>
      </c>
      <c r="F181" s="35"/>
      <c r="G181" s="52">
        <f t="shared" ca="1" si="10"/>
        <v>-44494</v>
      </c>
      <c r="H181" s="36"/>
      <c r="I181" s="56" t="str">
        <f t="shared" si="11"/>
        <v>Chưa bắt đầu</v>
      </c>
      <c r="J181" s="37"/>
    </row>
    <row r="182" spans="1:10" s="31" customFormat="1" x14ac:dyDescent="0.2">
      <c r="A182" s="32" t="str">
        <f>IF(ISBLANK(B182),"",MAX($A$6:A181)+1)</f>
        <v/>
      </c>
      <c r="B182" s="33"/>
      <c r="C182" s="34"/>
      <c r="D182" s="34"/>
      <c r="E182" s="49">
        <f>IFERROR(INDEX(Data!$E$3:$F$4,MATCH($C182,Data!$D$3:$D$4,0),MATCH($D182,Data!$E$2:$F$2,0)),5)</f>
        <v>5</v>
      </c>
      <c r="F182" s="35"/>
      <c r="G182" s="52">
        <f t="shared" ca="1" si="10"/>
        <v>-44494</v>
      </c>
      <c r="H182" s="36"/>
      <c r="I182" s="56" t="str">
        <f t="shared" si="11"/>
        <v>Chưa bắt đầu</v>
      </c>
      <c r="J182" s="37"/>
    </row>
    <row r="183" spans="1:10" s="31" customFormat="1" x14ac:dyDescent="0.2">
      <c r="A183" s="32" t="str">
        <f>IF(ISBLANK(B183),"",MAX($A$6:A182)+1)</f>
        <v/>
      </c>
      <c r="B183" s="33"/>
      <c r="C183" s="34"/>
      <c r="D183" s="34"/>
      <c r="E183" s="49">
        <f>IFERROR(INDEX(Data!$E$3:$F$4,MATCH($C183,Data!$D$3:$D$4,0),MATCH($D183,Data!$E$2:$F$2,0)),5)</f>
        <v>5</v>
      </c>
      <c r="F183" s="35"/>
      <c r="G183" s="52">
        <f t="shared" ca="1" si="10"/>
        <v>-44494</v>
      </c>
      <c r="H183" s="36"/>
      <c r="I183" s="56" t="str">
        <f t="shared" si="11"/>
        <v>Chưa bắt đầu</v>
      </c>
      <c r="J183" s="37"/>
    </row>
    <row r="184" spans="1:10" s="31" customFormat="1" x14ac:dyDescent="0.2">
      <c r="A184" s="32" t="str">
        <f>IF(ISBLANK(B184),"",MAX($A$6:A183)+1)</f>
        <v/>
      </c>
      <c r="B184" s="33"/>
      <c r="C184" s="34"/>
      <c r="D184" s="34"/>
      <c r="E184" s="49">
        <f>IFERROR(INDEX(Data!$E$3:$F$4,MATCH($C184,Data!$D$3:$D$4,0),MATCH($D184,Data!$E$2:$F$2,0)),5)</f>
        <v>5</v>
      </c>
      <c r="F184" s="35"/>
      <c r="G184" s="52">
        <f t="shared" ca="1" si="10"/>
        <v>-44494</v>
      </c>
      <c r="H184" s="36"/>
      <c r="I184" s="56" t="str">
        <f t="shared" si="11"/>
        <v>Chưa bắt đầu</v>
      </c>
      <c r="J184" s="37"/>
    </row>
    <row r="185" spans="1:10" s="31" customFormat="1" x14ac:dyDescent="0.2">
      <c r="A185" s="32" t="str">
        <f>IF(ISBLANK(B185),"",MAX($A$6:A184)+1)</f>
        <v/>
      </c>
      <c r="B185" s="33"/>
      <c r="C185" s="34"/>
      <c r="D185" s="34"/>
      <c r="E185" s="49">
        <f>IFERROR(INDEX(Data!$E$3:$F$4,MATCH($C185,Data!$D$3:$D$4,0),MATCH($D185,Data!$E$2:$F$2,0)),5)</f>
        <v>5</v>
      </c>
      <c r="F185" s="35"/>
      <c r="G185" s="52">
        <f t="shared" ca="1" si="10"/>
        <v>-44494</v>
      </c>
      <c r="H185" s="36"/>
      <c r="I185" s="56" t="str">
        <f t="shared" si="11"/>
        <v>Chưa bắt đầu</v>
      </c>
      <c r="J185" s="37"/>
    </row>
    <row r="186" spans="1:10" s="31" customFormat="1" x14ac:dyDescent="0.2">
      <c r="A186" s="32" t="str">
        <f>IF(ISBLANK(B186),"",MAX($A$6:A185)+1)</f>
        <v/>
      </c>
      <c r="B186" s="33"/>
      <c r="C186" s="34"/>
      <c r="D186" s="34"/>
      <c r="E186" s="49">
        <f>IFERROR(INDEX(Data!$E$3:$F$4,MATCH($C186,Data!$D$3:$D$4,0),MATCH($D186,Data!$E$2:$F$2,0)),5)</f>
        <v>5</v>
      </c>
      <c r="F186" s="35"/>
      <c r="G186" s="52">
        <f t="shared" ca="1" si="10"/>
        <v>-44494</v>
      </c>
      <c r="H186" s="36"/>
      <c r="I186" s="56" t="str">
        <f t="shared" si="11"/>
        <v>Chưa bắt đầu</v>
      </c>
      <c r="J186" s="37"/>
    </row>
    <row r="187" spans="1:10" s="31" customFormat="1" x14ac:dyDescent="0.2">
      <c r="A187" s="32" t="str">
        <f>IF(ISBLANK(B187),"",MAX($A$6:A186)+1)</f>
        <v/>
      </c>
      <c r="B187" s="33"/>
      <c r="C187" s="34"/>
      <c r="D187" s="34"/>
      <c r="E187" s="49">
        <f>IFERROR(INDEX(Data!$E$3:$F$4,MATCH($C187,Data!$D$3:$D$4,0),MATCH($D187,Data!$E$2:$F$2,0)),5)</f>
        <v>5</v>
      </c>
      <c r="F187" s="35"/>
      <c r="G187" s="52">
        <f t="shared" ca="1" si="10"/>
        <v>-44494</v>
      </c>
      <c r="H187" s="36"/>
      <c r="I187" s="56" t="str">
        <f t="shared" si="11"/>
        <v>Chưa bắt đầu</v>
      </c>
      <c r="J187" s="37"/>
    </row>
    <row r="188" spans="1:10" s="31" customFormat="1" x14ac:dyDescent="0.2">
      <c r="A188" s="32" t="str">
        <f>IF(ISBLANK(B188),"",MAX($A$6:A187)+1)</f>
        <v/>
      </c>
      <c r="B188" s="33"/>
      <c r="C188" s="34"/>
      <c r="D188" s="34"/>
      <c r="E188" s="49">
        <f>IFERROR(INDEX(Data!$E$3:$F$4,MATCH($C188,Data!$D$3:$D$4,0),MATCH($D188,Data!$E$2:$F$2,0)),5)</f>
        <v>5</v>
      </c>
      <c r="F188" s="35"/>
      <c r="G188" s="52">
        <f t="shared" ca="1" si="10"/>
        <v>-44494</v>
      </c>
      <c r="H188" s="36"/>
      <c r="I188" s="56" t="str">
        <f t="shared" si="11"/>
        <v>Chưa bắt đầu</v>
      </c>
      <c r="J188" s="37"/>
    </row>
    <row r="189" spans="1:10" s="31" customFormat="1" x14ac:dyDescent="0.2">
      <c r="A189" s="32" t="str">
        <f>IF(ISBLANK(B189),"",MAX($A$6:A188)+1)</f>
        <v/>
      </c>
      <c r="B189" s="33"/>
      <c r="C189" s="34"/>
      <c r="D189" s="34"/>
      <c r="E189" s="49">
        <f>IFERROR(INDEX(Data!$E$3:$F$4,MATCH($C189,Data!$D$3:$D$4,0),MATCH($D189,Data!$E$2:$F$2,0)),5)</f>
        <v>5</v>
      </c>
      <c r="F189" s="35"/>
      <c r="G189" s="52">
        <f t="shared" ca="1" si="10"/>
        <v>-44494</v>
      </c>
      <c r="H189" s="36"/>
      <c r="I189" s="56" t="str">
        <f t="shared" si="11"/>
        <v>Chưa bắt đầu</v>
      </c>
      <c r="J189" s="37"/>
    </row>
    <row r="190" spans="1:10" s="31" customFormat="1" x14ac:dyDescent="0.2">
      <c r="A190" s="32" t="str">
        <f>IF(ISBLANK(B190),"",MAX($A$6:A189)+1)</f>
        <v/>
      </c>
      <c r="B190" s="33"/>
      <c r="C190" s="34"/>
      <c r="D190" s="34"/>
      <c r="E190" s="49">
        <f>IFERROR(INDEX(Data!$E$3:$F$4,MATCH($C190,Data!$D$3:$D$4,0),MATCH($D190,Data!$E$2:$F$2,0)),5)</f>
        <v>5</v>
      </c>
      <c r="F190" s="35"/>
      <c r="G190" s="52">
        <f t="shared" ca="1" si="10"/>
        <v>-44494</v>
      </c>
      <c r="H190" s="36"/>
      <c r="I190" s="56" t="str">
        <f t="shared" si="11"/>
        <v>Chưa bắt đầu</v>
      </c>
      <c r="J190" s="37"/>
    </row>
    <row r="191" spans="1:10" s="31" customFormat="1" x14ac:dyDescent="0.2">
      <c r="A191" s="32" t="str">
        <f>IF(ISBLANK(B191),"",MAX($A$6:A190)+1)</f>
        <v/>
      </c>
      <c r="B191" s="33"/>
      <c r="C191" s="34"/>
      <c r="D191" s="34"/>
      <c r="E191" s="49">
        <f>IFERROR(INDEX(Data!$E$3:$F$4,MATCH($C191,Data!$D$3:$D$4,0),MATCH($D191,Data!$E$2:$F$2,0)),5)</f>
        <v>5</v>
      </c>
      <c r="F191" s="35"/>
      <c r="G191" s="52">
        <f t="shared" ca="1" si="10"/>
        <v>-44494</v>
      </c>
      <c r="H191" s="36"/>
      <c r="I191" s="56" t="str">
        <f t="shared" si="11"/>
        <v>Chưa bắt đầu</v>
      </c>
      <c r="J191" s="37"/>
    </row>
    <row r="192" spans="1:10" s="31" customFormat="1" x14ac:dyDescent="0.2">
      <c r="A192" s="32" t="str">
        <f>IF(ISBLANK(B192),"",MAX($A$6:A191)+1)</f>
        <v/>
      </c>
      <c r="B192" s="33"/>
      <c r="C192" s="34"/>
      <c r="D192" s="34"/>
      <c r="E192" s="49">
        <f>IFERROR(INDEX(Data!$E$3:$F$4,MATCH($C192,Data!$D$3:$D$4,0),MATCH($D192,Data!$E$2:$F$2,0)),5)</f>
        <v>5</v>
      </c>
      <c r="F192" s="35"/>
      <c r="G192" s="52">
        <f t="shared" ca="1" si="10"/>
        <v>-44494</v>
      </c>
      <c r="H192" s="36"/>
      <c r="I192" s="56" t="str">
        <f t="shared" si="11"/>
        <v>Chưa bắt đầu</v>
      </c>
      <c r="J192" s="37"/>
    </row>
    <row r="193" spans="1:10" s="31" customFormat="1" x14ac:dyDescent="0.2">
      <c r="A193" s="32" t="str">
        <f>IF(ISBLANK(B193),"",MAX($A$6:A192)+1)</f>
        <v/>
      </c>
      <c r="B193" s="33"/>
      <c r="C193" s="34"/>
      <c r="D193" s="34"/>
      <c r="E193" s="49">
        <f>IFERROR(INDEX(Data!$E$3:$F$4,MATCH($C193,Data!$D$3:$D$4,0),MATCH($D193,Data!$E$2:$F$2,0)),5)</f>
        <v>5</v>
      </c>
      <c r="F193" s="35"/>
      <c r="G193" s="52">
        <f t="shared" ca="1" si="10"/>
        <v>-44494</v>
      </c>
      <c r="H193" s="36"/>
      <c r="I193" s="56" t="str">
        <f t="shared" si="11"/>
        <v>Chưa bắt đầu</v>
      </c>
      <c r="J193" s="37"/>
    </row>
    <row r="194" spans="1:10" s="31" customFormat="1" x14ac:dyDescent="0.2">
      <c r="A194" s="32" t="str">
        <f>IF(ISBLANK(B194),"",MAX($A$6:A193)+1)</f>
        <v/>
      </c>
      <c r="B194" s="33"/>
      <c r="C194" s="34"/>
      <c r="D194" s="34"/>
      <c r="E194" s="49">
        <f>IFERROR(INDEX(Data!$E$3:$F$4,MATCH($C194,Data!$D$3:$D$4,0),MATCH($D194,Data!$E$2:$F$2,0)),5)</f>
        <v>5</v>
      </c>
      <c r="F194" s="35"/>
      <c r="G194" s="52">
        <f t="shared" ca="1" si="10"/>
        <v>-44494</v>
      </c>
      <c r="H194" s="36"/>
      <c r="I194" s="56" t="str">
        <f t="shared" si="11"/>
        <v>Chưa bắt đầu</v>
      </c>
      <c r="J194" s="37"/>
    </row>
    <row r="195" spans="1:10" s="31" customFormat="1" x14ac:dyDescent="0.2">
      <c r="A195" s="32" t="str">
        <f>IF(ISBLANK(B195),"",MAX($A$6:A194)+1)</f>
        <v/>
      </c>
      <c r="B195" s="33"/>
      <c r="C195" s="34"/>
      <c r="D195" s="34"/>
      <c r="E195" s="49">
        <f>IFERROR(INDEX(Data!$E$3:$F$4,MATCH($C195,Data!$D$3:$D$4,0),MATCH($D195,Data!$E$2:$F$2,0)),5)</f>
        <v>5</v>
      </c>
      <c r="F195" s="35"/>
      <c r="G195" s="52">
        <f t="shared" ca="1" si="10"/>
        <v>-44494</v>
      </c>
      <c r="H195" s="36"/>
      <c r="I195" s="56" t="str">
        <f t="shared" si="11"/>
        <v>Chưa bắt đầu</v>
      </c>
      <c r="J195" s="37"/>
    </row>
    <row r="196" spans="1:10" s="31" customFormat="1" x14ac:dyDescent="0.2">
      <c r="A196" s="32" t="str">
        <f>IF(ISBLANK(B196),"",MAX($A$6:A195)+1)</f>
        <v/>
      </c>
      <c r="B196" s="33"/>
      <c r="C196" s="34"/>
      <c r="D196" s="34"/>
      <c r="E196" s="49">
        <f>IFERROR(INDEX(Data!$E$3:$F$4,MATCH($C196,Data!$D$3:$D$4,0),MATCH($D196,Data!$E$2:$F$2,0)),5)</f>
        <v>5</v>
      </c>
      <c r="F196" s="35"/>
      <c r="G196" s="52">
        <f t="shared" ca="1" si="10"/>
        <v>-44494</v>
      </c>
      <c r="H196" s="36"/>
      <c r="I196" s="56" t="str">
        <f t="shared" si="11"/>
        <v>Chưa bắt đầu</v>
      </c>
      <c r="J196" s="37"/>
    </row>
    <row r="197" spans="1:10" s="31" customFormat="1" x14ac:dyDescent="0.2">
      <c r="A197" s="32" t="str">
        <f>IF(ISBLANK(B197),"",MAX($A$6:A196)+1)</f>
        <v/>
      </c>
      <c r="B197" s="33"/>
      <c r="C197" s="34"/>
      <c r="D197" s="34"/>
      <c r="E197" s="49">
        <f>IFERROR(INDEX(Data!$E$3:$F$4,MATCH($C197,Data!$D$3:$D$4,0),MATCH($D197,Data!$E$2:$F$2,0)),5)</f>
        <v>5</v>
      </c>
      <c r="F197" s="35"/>
      <c r="G197" s="52">
        <f t="shared" ca="1" si="10"/>
        <v>-44494</v>
      </c>
      <c r="H197" s="36"/>
      <c r="I197" s="56" t="str">
        <f t="shared" si="11"/>
        <v>Chưa bắt đầu</v>
      </c>
      <c r="J197" s="37"/>
    </row>
    <row r="198" spans="1:10" s="31" customFormat="1" x14ac:dyDescent="0.2">
      <c r="A198" s="32" t="str">
        <f>IF(ISBLANK(B198),"",MAX($A$6:A197)+1)</f>
        <v/>
      </c>
      <c r="B198" s="33"/>
      <c r="C198" s="34"/>
      <c r="D198" s="34"/>
      <c r="E198" s="49">
        <f>IFERROR(INDEX(Data!$E$3:$F$4,MATCH($C198,Data!$D$3:$D$4,0),MATCH($D198,Data!$E$2:$F$2,0)),5)</f>
        <v>5</v>
      </c>
      <c r="F198" s="35"/>
      <c r="G198" s="52">
        <f t="shared" ca="1" si="10"/>
        <v>-44494</v>
      </c>
      <c r="H198" s="36"/>
      <c r="I198" s="56" t="str">
        <f t="shared" si="11"/>
        <v>Chưa bắt đầu</v>
      </c>
      <c r="J198" s="37"/>
    </row>
    <row r="199" spans="1:10" s="31" customFormat="1" x14ac:dyDescent="0.2">
      <c r="A199" s="32" t="str">
        <f>IF(ISBLANK(B199),"",MAX($A$6:A198)+1)</f>
        <v/>
      </c>
      <c r="B199" s="33"/>
      <c r="C199" s="34"/>
      <c r="D199" s="34"/>
      <c r="E199" s="49">
        <f>IFERROR(INDEX(Data!$E$3:$F$4,MATCH($C199,Data!$D$3:$D$4,0),MATCH($D199,Data!$E$2:$F$2,0)),5)</f>
        <v>5</v>
      </c>
      <c r="F199" s="35"/>
      <c r="G199" s="52">
        <f t="shared" ref="G199:G230" ca="1" si="12">F199-TODAY()</f>
        <v>-44494</v>
      </c>
      <c r="H199" s="36"/>
      <c r="I199" s="56" t="str">
        <f t="shared" ref="I199:I230" si="13">IF(H199=0%,"Chưa bắt đầu",IF(H199=100%,"Đã hoàn thành",IF(G199&lt;0, "Quá hạn","Đang thực hiện")))</f>
        <v>Chưa bắt đầu</v>
      </c>
      <c r="J199" s="37"/>
    </row>
    <row r="200" spans="1:10" s="31" customFormat="1" x14ac:dyDescent="0.2">
      <c r="A200" s="32" t="str">
        <f>IF(ISBLANK(B200),"",MAX($A$6:A199)+1)</f>
        <v/>
      </c>
      <c r="B200" s="33"/>
      <c r="C200" s="34"/>
      <c r="D200" s="34"/>
      <c r="E200" s="49">
        <f>IFERROR(INDEX(Data!$E$3:$F$4,MATCH($C200,Data!$D$3:$D$4,0),MATCH($D200,Data!$E$2:$F$2,0)),5)</f>
        <v>5</v>
      </c>
      <c r="F200" s="35"/>
      <c r="G200" s="52">
        <f t="shared" ca="1" si="12"/>
        <v>-44494</v>
      </c>
      <c r="H200" s="36"/>
      <c r="I200" s="56" t="str">
        <f t="shared" si="13"/>
        <v>Chưa bắt đầu</v>
      </c>
      <c r="J200" s="37"/>
    </row>
    <row r="201" spans="1:10" s="31" customFormat="1" ht="15.75" thickBot="1" x14ac:dyDescent="0.25">
      <c r="A201" s="42" t="str">
        <f>IF(ISBLANK(B201),"",MAX($A$6:A200)+1)</f>
        <v/>
      </c>
      <c r="B201" s="43"/>
      <c r="C201" s="44"/>
      <c r="D201" s="44"/>
      <c r="E201" s="50">
        <f>IFERROR(INDEX(Data!$E$3:$F$4,MATCH($C201,Data!$D$3:$D$4,0),MATCH($D201,Data!$E$2:$F$2,0)),5)</f>
        <v>5</v>
      </c>
      <c r="F201" s="45"/>
      <c r="G201" s="54">
        <f t="shared" ref="G201" ca="1" si="14">F201-TODAY()</f>
        <v>-44494</v>
      </c>
      <c r="H201" s="46">
        <v>1</v>
      </c>
      <c r="I201" s="58" t="str">
        <f t="shared" ref="I201" si="15">IF(H201=0%,"Chưa bắt đầu",IF(H201=100%,"Đã hoàn thành",IF(G201&lt;0, "Quá hạn","Đang thực hiện")))</f>
        <v>Đã hoàn thành</v>
      </c>
      <c r="J201" s="47"/>
    </row>
  </sheetData>
  <sheetProtection algorithmName="SHA-512" hashValue="e4YQslaT5TdsK5ZG5QBCKCSeP+NY7Rpj+4L+kU5UHtvQwdWbwqCCj5kjDGDM/BYlPytwYYLB7XmEOHjGmpJ4Nw==" saltValue="asd1tGmQoSx4qjKieW6ybg==" spinCount="100000" sheet="1" objects="1" scenarios="1"/>
  <autoFilter ref="A6:J201"/>
  <sortState ref="A7:J200">
    <sortCondition ref="E7:E200"/>
    <sortCondition ref="G7:G200"/>
  </sortState>
  <conditionalFormatting sqref="E7:E201">
    <cfRule type="cellIs" dxfId="19" priority="23" operator="equal">
      <formula>0</formula>
    </cfRule>
    <cfRule type="cellIs" dxfId="18" priority="24" operator="equal">
      <formula>"D"</formula>
    </cfRule>
    <cfRule type="cellIs" dxfId="17" priority="25" operator="equal">
      <formula>"C"</formula>
    </cfRule>
    <cfRule type="cellIs" dxfId="16" priority="26" operator="equal">
      <formula>"B"</formula>
    </cfRule>
    <cfRule type="cellIs" dxfId="15" priority="27" operator="equal">
      <formula>"A"</formula>
    </cfRule>
  </conditionalFormatting>
  <conditionalFormatting sqref="E7:E201">
    <cfRule type="cellIs" dxfId="14" priority="17" operator="equal">
      <formula>4</formula>
    </cfRule>
    <cfRule type="cellIs" dxfId="13" priority="18" operator="equal">
      <formula>3</formula>
    </cfRule>
    <cfRule type="cellIs" dxfId="12" priority="19" operator="equal">
      <formula>2</formula>
    </cfRule>
    <cfRule type="cellIs" dxfId="11" priority="20" operator="equal">
      <formula>1</formula>
    </cfRule>
    <cfRule type="cellIs" dxfId="10" priority="22" operator="equal">
      <formula>5</formula>
    </cfRule>
  </conditionalFormatting>
  <conditionalFormatting sqref="G9:G201">
    <cfRule type="cellIs" dxfId="9" priority="9" operator="equal">
      <formula>-43794</formula>
    </cfRule>
  </conditionalFormatting>
  <conditionalFormatting sqref="G11:G201">
    <cfRule type="cellIs" dxfId="8" priority="7" operator="equal">
      <formula>-43795</formula>
    </cfRule>
  </conditionalFormatting>
  <conditionalFormatting sqref="G7:G201">
    <cfRule type="cellIs" dxfId="7" priority="4" operator="equal">
      <formula>$G$201</formula>
    </cfRule>
  </conditionalFormatting>
  <conditionalFormatting sqref="H7:I201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{FB654AFA-E932-443B-9A51-E29333AE394F}</x14:id>
        </ext>
      </extLst>
    </cfRule>
  </conditionalFormatting>
  <pageMargins left="0.7" right="0.7" top="0.75" bottom="0.75" header="0.3" footer="0.3"/>
  <pageSetup orientation="portrait" r:id="rId1"/>
  <ignoredErrors>
    <ignoredError sqref="A201:J20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">
                <anchor moveWithCells="1" sizeWithCells="1">
                  <from>
                    <xdr:col>1</xdr:col>
                    <xdr:colOff>1428750</xdr:colOff>
                    <xdr:row>0</xdr:row>
                    <xdr:rowOff>38100</xdr:rowOff>
                  </from>
                  <to>
                    <xdr:col>1</xdr:col>
                    <xdr:colOff>2314575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4AFA-E932-443B-9A51-E29333AE39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H7:I201</xm:sqref>
        </x14:conditionalFormatting>
        <x14:conditionalFormatting xmlns:xm="http://schemas.microsoft.com/office/excel/2006/main">
          <x14:cfRule type="cellIs" priority="10" operator="equal" id="{E07EB13D-1183-476C-BBE8-08E0AB5274D7}">
            <xm:f>Data!$B$3</xm:f>
            <x14:dxf>
              <font>
                <color rgb="FFC00000"/>
              </font>
            </x14:dxf>
          </x14:cfRule>
          <xm:sqref>C7:D201</xm:sqref>
        </x14:conditionalFormatting>
        <x14:conditionalFormatting xmlns:xm="http://schemas.microsoft.com/office/excel/2006/main">
          <x14:cfRule type="cellIs" priority="1" operator="equal" id="{B754B52D-7112-4B86-918B-4BB1F3FB373B}">
            <xm:f>Data!$H$2</xm:f>
            <x14:dxf>
              <font>
                <color theme="0"/>
              </font>
            </x14:dxf>
          </x14:cfRule>
          <x14:cfRule type="cellIs" priority="2" operator="equal" id="{979DE4B8-198F-4AED-9354-D353FC6DC5FD}">
            <xm:f>Data!$H$4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3" operator="equal" id="{A722667D-D8EF-4705-A830-5CD7D6677CCF}">
            <xm:f>Data!$H$3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equal" id="{2B9FEEF5-90B4-427E-B503-19C36592448A}">
            <xm:f>Data!$H$3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equal" id="{F0EAD04A-8147-4267-85C9-A2918B0F37C6}">
            <xm:f>Data!$H$6</xm:f>
            <x14:dxf>
              <font>
                <color theme="0"/>
              </font>
            </x14:dxf>
          </x14:cfRule>
          <xm:sqref>I7:I201</xm:sqref>
        </x14:conditionalFormatting>
        <x14:conditionalFormatting xmlns:xm="http://schemas.microsoft.com/office/excel/2006/main">
          <x14:cfRule type="expression" priority="28" id="{CA20C61B-2FEA-47BC-B6D9-D9923D3D2981}">
            <xm:f>$I7=Data!$H$5</xm:f>
            <x14:dxf>
              <fill>
                <patternFill>
                  <bgColor rgb="FFFFFF00"/>
                </patternFill>
              </fill>
            </x14:dxf>
          </x14:cfRule>
          <xm:sqref>A7:J200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Data!$B$3:$B$4</xm:f>
          </x14:formula1>
          <xm:sqref>C7:D201</xm:sqref>
        </x14:dataValidation>
        <x14:dataValidation type="list" allowBlank="1" showInputMessage="1" showErrorMessage="1">
          <x14:formula1>
            <xm:f>Data!$J$3:$J$7</xm:f>
          </x14:formula1>
          <xm:sqref>H7:H201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7"/>
  <sheetViews>
    <sheetView workbookViewId="0">
      <selection activeCell="B10" sqref="B10"/>
    </sheetView>
  </sheetViews>
  <sheetFormatPr defaultRowHeight="15" x14ac:dyDescent="0.2"/>
  <cols>
    <col min="2" max="2" width="13.6640625" customWidth="1"/>
    <col min="3" max="3" width="14.5546875" customWidth="1"/>
    <col min="8" max="8" width="13.88671875" style="3" customWidth="1"/>
    <col min="12" max="12" width="7.88671875" style="3" bestFit="1" customWidth="1"/>
  </cols>
  <sheetData>
    <row r="2" spans="2:10" x14ac:dyDescent="0.2">
      <c r="B2" s="1"/>
      <c r="C2" s="1"/>
      <c r="E2" s="2" t="s">
        <v>41</v>
      </c>
      <c r="F2" s="2" t="s">
        <v>42</v>
      </c>
      <c r="H2" s="3" t="s">
        <v>16</v>
      </c>
    </row>
    <row r="3" spans="2:10" x14ac:dyDescent="0.2">
      <c r="B3" s="2" t="s">
        <v>41</v>
      </c>
      <c r="D3" s="2" t="s">
        <v>41</v>
      </c>
      <c r="E3" s="2">
        <v>1</v>
      </c>
      <c r="F3" s="2">
        <v>2</v>
      </c>
      <c r="H3" s="3" t="s">
        <v>31</v>
      </c>
      <c r="J3" s="4">
        <v>0</v>
      </c>
    </row>
    <row r="4" spans="2:10" x14ac:dyDescent="0.2">
      <c r="B4" s="2" t="s">
        <v>42</v>
      </c>
      <c r="D4" s="2" t="s">
        <v>42</v>
      </c>
      <c r="E4" s="2">
        <v>3</v>
      </c>
      <c r="F4" s="2">
        <v>4</v>
      </c>
      <c r="H4" s="3" t="s">
        <v>32</v>
      </c>
      <c r="J4" s="4">
        <v>0.25</v>
      </c>
    </row>
    <row r="5" spans="2:10" x14ac:dyDescent="0.2">
      <c r="H5" s="3" t="s">
        <v>15</v>
      </c>
      <c r="J5" s="4">
        <v>0.5</v>
      </c>
    </row>
    <row r="6" spans="2:10" x14ac:dyDescent="0.2">
      <c r="J6" s="4">
        <v>0.75</v>
      </c>
    </row>
    <row r="7" spans="2:10" x14ac:dyDescent="0.2">
      <c r="J7" s="4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D92D5EB1EC742B86AAF3912B7C7E8" ma:contentTypeVersion="1" ma:contentTypeDescription="Create a new document." ma:contentTypeScope="" ma:versionID="9bddaf0099f1645f8710c15874ef9c07">
  <xsd:schema xmlns:xsd="http://www.w3.org/2001/XMLSchema" xmlns:xs="http://www.w3.org/2001/XMLSchema" xmlns:p="http://schemas.microsoft.com/office/2006/metadata/properties" xmlns:ns2="96a4dfcf-bb55-460b-aa72-3fea3d1ffceb" targetNamespace="http://schemas.microsoft.com/office/2006/metadata/properties" ma:root="true" ma:fieldsID="d7504622614cd34aad09a7960778a636" ns2:_="">
    <xsd:import namespace="96a4dfcf-bb55-460b-aa72-3fea3d1ffceb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a4dfcf-bb55-460b-aa72-3fea3d1ffce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C9893B-8043-4484-AFF5-4E0D3FFC896E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96a4dfcf-bb55-460b-aa72-3fea3d1ffceb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DEAC905-DF43-4299-A793-A3E48C5E16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a4dfcf-bb55-460b-aa72-3fea3d1ffc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EEF53A-FFC5-40EF-B3DE-2A11F53A21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Hướng dẫn</vt:lpstr>
      <vt:lpstr>To-do-list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nhantn.hcm</dc:creator>
  <cp:lastModifiedBy>ADMIN</cp:lastModifiedBy>
  <cp:lastPrinted>2019-09-23T05:02:56Z</cp:lastPrinted>
  <dcterms:created xsi:type="dcterms:W3CDTF">2019-07-22T01:28:47Z</dcterms:created>
  <dcterms:modified xsi:type="dcterms:W3CDTF">2021-10-25T04:31:40Z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0x010100092D92D5EB1EC742B86AAF3912B7C7E8</vt:lpwstr>
  </property>
</Properties>
</file>